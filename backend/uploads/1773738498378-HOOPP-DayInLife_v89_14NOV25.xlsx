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ocumenttasks/documenttask1.xml" ContentType="application/vnd.ms-excel.documenttasks+xml"/>
  <Override PartName="/xl/tables/table1.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05"/>
  <workbookPr updateLinks="always" defaultThemeVersion="166925"/>
  <mc:AlternateContent xmlns:mc="http://schemas.openxmlformats.org/markup-compatibility/2006">
    <mc:Choice Requires="x15">
      <x15ac:absPath xmlns:x15ac="http://schemas.microsoft.com/office/spreadsheetml/2010/11/ac" url="https://thegoldensource.sharepoint.com/sites/PSGHub/Project Repositories/HOOPP/20 ADITLO/"/>
    </mc:Choice>
  </mc:AlternateContent>
  <xr:revisionPtr revIDLastSave="2472" documentId="13_ncr:1_{DCA7B795-CAD4-4F61-80AF-654E05C0EE48}" xr6:coauthVersionLast="47" xr6:coauthVersionMax="47" xr10:uidLastSave="{E3D40ADC-0325-4597-AE31-C4110CE36084}"/>
  <bookViews>
    <workbookView xWindow="-120" yWindow="-120" windowWidth="29040" windowHeight="15720" tabRatio="791" firstSheet="1" activeTab="1" xr2:uid="{00000000-000D-0000-FFFF-FFFF00000000}"/>
  </bookViews>
  <sheets>
    <sheet name="Summary" sheetId="10" r:id="rId1"/>
    <sheet name="ADayInLife(ADITLO)" sheetId="1" r:id="rId2"/>
    <sheet name="Pricing ADITLO Simplified" sheetId="14" r:id="rId3"/>
    <sheet name="Legends" sheetId="2" r:id="rId4"/>
    <sheet name="Calendar Data" sheetId="15" r:id="rId5"/>
    <sheet name="Custom Pipelines" sheetId="17" r:id="rId6"/>
    <sheet name="Vendor Connections" sheetId="16" r:id="rId7"/>
    <sheet name="Version History" sheetId="11" r:id="rId8"/>
    <sheet name="Delete_Pricing_Results" sheetId="12" r:id="rId9"/>
    <sheet name="HOOPP Alerting Requirements" sheetId="13" r:id="rId10"/>
    <sheet name="Configured OMNI Alerts" sheetId="18" r:id="rId11"/>
  </sheets>
  <externalReferences>
    <externalReference r:id="rId12"/>
  </externalReferences>
  <definedNames>
    <definedName name="_xlnm._FilterDatabase" localSheetId="1" hidden="1">'ADayInLife(ADITLO)'!$A$1:$AV$158</definedName>
    <definedName name="_xlnm._FilterDatabase" localSheetId="2" hidden="1">'Pricing ADITLO Simplified'!$A$1:$Q$1</definedName>
    <definedName name="_xlnm._FilterDatabase" localSheetId="6" hidden="1">'Vendor Connections'!$A$1:$U$97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25" i="1" l="1"/>
  <c r="O25" i="1"/>
  <c r="P24" i="1"/>
  <c r="O24" i="1"/>
  <c r="P22" i="1"/>
  <c r="O22" i="1"/>
  <c r="P21" i="1"/>
  <c r="O21" i="1"/>
  <c r="P49" i="1"/>
  <c r="P50" i="1"/>
  <c r="P46" i="1"/>
  <c r="P47" i="1"/>
  <c r="O30" i="1"/>
  <c r="P30" i="1"/>
  <c r="O35" i="1"/>
  <c r="D22" i="14"/>
  <c r="D4" i="14"/>
  <c r="D3" i="14"/>
  <c r="D5" i="14"/>
  <c r="D6" i="14"/>
  <c r="D7" i="14"/>
  <c r="D8" i="14"/>
  <c r="D19" i="14"/>
  <c r="D2" i="14"/>
  <c r="P65" i="1"/>
  <c r="P37" i="1"/>
  <c r="P34" i="1"/>
  <c r="P26" i="1"/>
  <c r="P20" i="1"/>
  <c r="P14" i="1"/>
  <c r="P13" i="1"/>
  <c r="P12" i="1"/>
  <c r="P5" i="1"/>
  <c r="P64" i="1"/>
  <c r="P44" i="1"/>
  <c r="P43" i="1"/>
  <c r="P42" i="1"/>
  <c r="P6" i="1"/>
  <c r="P3" i="1"/>
  <c r="P4" i="1"/>
  <c r="P11" i="1"/>
  <c r="P23" i="1"/>
  <c r="P15" i="1"/>
  <c r="P18" i="1"/>
  <c r="P31" i="1"/>
  <c r="P38" i="1"/>
  <c r="P39" i="1"/>
  <c r="P40" i="1"/>
  <c r="P41" i="1"/>
  <c r="P48" i="1"/>
  <c r="P51" i="1"/>
  <c r="O6" i="1"/>
  <c r="O3" i="1"/>
  <c r="P29" i="1"/>
  <c r="P28" i="1"/>
  <c r="P27" i="1"/>
  <c r="O65" i="1"/>
  <c r="O64" i="1"/>
  <c r="O48" i="1"/>
  <c r="O44" i="1"/>
  <c r="O43" i="1"/>
  <c r="O42" i="1"/>
  <c r="O41" i="1"/>
  <c r="O37" i="1"/>
  <c r="O34" i="1"/>
  <c r="O29" i="1"/>
  <c r="O28" i="1"/>
  <c r="O27" i="1"/>
  <c r="O26" i="1"/>
  <c r="O20" i="1"/>
  <c r="O18" i="1"/>
  <c r="O15" i="1"/>
  <c r="O14" i="1"/>
  <c r="O13" i="1"/>
  <c r="O12" i="1"/>
  <c r="O11" i="1"/>
  <c r="O4" i="1"/>
  <c r="A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tc={10EEEA35-668F-47C0-B41A-4A2A0981E56C}</author>
    <author>tc={3F741216-3026-45F2-BFE3-4905175DEF47}</author>
    <author>tc={C69B17B0-5F7E-417D-A67B-564A6073D366}</author>
    <author>tc={39F7F8D4-8FE3-4F10-BDEA-E65A2C68ACCD}</author>
    <author>tc={1A4E3B41-689C-4CE8-8F6B-B445F7678928}</author>
    <author>tc={5DA04FFC-8780-4D21-A1FA-7AC0153B3D14}</author>
    <author>tc={97520DC3-DCE7-4FD7-9987-D928F38BEE4B}</author>
    <author>tc={E6A27671-5690-40DD-827A-1482A100A7AF}</author>
    <author>tc={6A672842-ADF2-480E-AE9B-C4AB04A1D482}</author>
    <author>tc={0B2AF4A2-4F23-4DDB-8336-08DA772B83A1}</author>
    <author>tc={1688794A-C2C6-4336-A3C9-A30862D8759C}</author>
    <author>tc={331884EF-9EEE-47C9-9901-6B600E7E52B5}</author>
    <author>tc={D020ED44-FC0D-4716-BAAA-6DA516587FB5}</author>
    <author>tc={D2BCF964-BDD5-4A4B-AEB1-61B720F94837}</author>
  </authors>
  <commentList>
    <comment ref="AL5" authorId="0" shapeId="0" xr:uid="{10EEEA35-668F-47C0-B41A-4A2A0981E56C}">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@Singhal, Mayank Since this row is the response, can we move the Readiness Check information to row 11?</t>
      </text>
    </comment>
    <comment ref="A11" authorId="1" shapeId="0" xr:uid="{3F741216-3026-45F2-BFE3-4905175DEF47}">
      <text>
        <t xml:space="preserve">[Threaded comment]
Your version of Excel allows you to read this threaded comment; however, any edits to it will get removed if the file is opened in a newer version of Excel. Learn more: https://go.microsoft.com/fwlink/?linkid=870924
Comment:
    Add depends job# </t>
      </text>
    </comment>
    <comment ref="A12" authorId="2" shapeId="0" xr:uid="{C69B17B0-5F7E-417D-A67B-564A6073D366}">
      <text>
        <t xml:space="preserve">[Threaded comment]
Your version of Excel allows you to read this threaded comment; however, any edits to it will get removed if the file is opened in a newer version of Excel. Learn more: https://go.microsoft.com/fwlink/?linkid=870924
Comment:
    Add depends job# </t>
      </text>
    </comment>
    <comment ref="AL12" authorId="3" shapeId="0" xr:uid="{39F7F8D4-8FE3-4F10-BDEA-E65A2C68ACCD}">
      <text>
        <t>[Threaded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@Singhal, Mayank Since this row is the response, can we move the Readiness Check information to row 11?</t>
      </text>
    </comment>
    <comment ref="B20" authorId="4" shapeId="0" xr:uid="{1A4E3B41-689C-4CE8-8F6B-B445F7678928}">
      <text>
        <t>[Threaded comment]
Your version of Excel allows you to read this threaded comment; however, any edits to it will get removed if the file is opened in a newer version of Excel. Learn more: https://go.microsoft.com/fwlink/?linkid=870924
Comment:
    Why dependency on job#5
Reply:
    Done</t>
      </text>
    </comment>
    <comment ref="AD23" authorId="5" shapeId="0" xr:uid="{5DA04FFC-8780-4D21-A1FA-7AC0153B3D14}">
      <text>
        <t>[Threaded comment]
Your version of Excel allows you to read this threaded comment; however, any edits to it will get removed if the file is opened in a newer version of Excel. Learn more: https://go.microsoft.com/fwlink/?linkid=870924
Comment:
    Need to confirm with Vikas</t>
      </text>
    </comment>
    <comment ref="AE23" authorId="6" shapeId="0" xr:uid="{97520DC3-DCE7-4FD7-9987-D928F38BEE4B}">
      <text>
        <t>[Threaded comment]
Your version of Excel allows you to read this threaded comment; however, any edits to it will get removed if the file is opened in a newer version of Excel. Learn more: https://go.microsoft.com/fwlink/?linkid=870924
Comment:
    Need to confirm with Vikas</t>
      </text>
    </comment>
    <comment ref="B26" authorId="7" shapeId="0" xr:uid="{E6A27671-5690-40DD-827A-1482A100A7AF}">
      <text>
        <t>[Threaded comment]
Your version of Excel allows you to read this threaded comment; however, any edits to it will get removed if the file is opened in a newer version of Excel. Learn more: https://go.microsoft.com/fwlink/?linkid=870924
Comment:
    4AM publishing should be dependent on this (job#16)</t>
      </text>
    </comment>
    <comment ref="A31" authorId="8" shapeId="0" xr:uid="{6A672842-ADF2-480E-AE9B-C4AB04A1D482}">
      <text>
        <t>[Threaded comment]
Your version of Excel allows you to read this threaded comment; however, any edits to it will get removed if the file is opened in a newer version of Excel. Learn more: https://go.microsoft.com/fwlink/?linkid=870924
Comment:
    Please remove this line</t>
      </text>
    </comment>
    <comment ref="G40" authorId="9" shapeId="0" xr:uid="{0B2AF4A2-4F23-4DDB-8336-08DA772B83A1}">
      <text>
        <t xml:space="preserve">[Threaded comment]
Your version of Excel allows you to read this threaded comment; however, any edits to it will get removed if the file is opened in a newer version of Excel. Learn more: https://go.microsoft.com/fwlink/?linkid=870924
[Tasks]
There is a task anchored to this comment that cannot be viewed in your client.
Comment:
    @Singhal, Mayank Is this column the name of the aditlo job that GS uses to create a complete ACK file? If so, do you mind filling in the name for the loads that we will wait for? Actually, we might need this unique name for all jobs, no? </t>
      </text>
    </comment>
    <comment ref="B51" authorId="10" shapeId="0" xr:uid="{1688794A-C2C6-4336-A3C9-A30862D8759C}">
      <text>
        <t>[Threaded comment]
Your version of Excel allows you to read this threaded comment; however, any edits to it will get removed if the file is opened in a newer version of Excel. Learn more: https://go.microsoft.com/fwlink/?linkid=870924
Comment:
    Should it be 25,31 ?</t>
      </text>
    </comment>
    <comment ref="AD51" authorId="11" shapeId="0" xr:uid="{331884EF-9EEE-47C9-9901-6B600E7E52B5}">
      <text>
        <t>[Threaded comment]
Your version of Excel allows you to read this threaded comment; however, any edits to it will get removed if the file is opened in a newer version of Excel. Learn more: https://go.microsoft.com/fwlink/?linkid=870924
Comment:
    What is the SLO for this JOB?</t>
      </text>
    </comment>
    <comment ref="AE51" authorId="12" shapeId="0" xr:uid="{D020ED44-FC0D-4716-BAAA-6DA516587FB5}">
      <text>
        <t>[Threaded comment]
Your version of Excel allows you to read this threaded comment; however, any edits to it will get removed if the file is opened in a newer version of Excel. Learn more: https://go.microsoft.com/fwlink/?linkid=870924
Comment:
    What is the SLO for this JOB?</t>
      </text>
    </comment>
    <comment ref="B65" authorId="13" shapeId="0" xr:uid="{D2BCF964-BDD5-4A4B-AEB1-61B720F94837}">
      <text>
        <t>[Threaded comment]
Your version of Excel allows you to read this threaded comment; however, any edits to it will get removed if the file is opened in a newer version of Excel. Learn more: https://go.microsoft.com/fwlink/?linkid=870924
Comment:
    Why Depends on Job #3? 
Reply:
    Vikas to Remove this dependency.</t>
      </text>
    </comment>
  </commentList>
</comments>
</file>

<file path=xl/sharedStrings.xml><?xml version="1.0" encoding="utf-8"?>
<sst xmlns="http://schemas.openxmlformats.org/spreadsheetml/2006/main" count="4647" uniqueCount="1313">
  <si>
    <t>Client Name - HOOPP (Healthcare of Ontario Pension Plan)</t>
  </si>
  <si>
    <t>Services Entitlements</t>
  </si>
  <si>
    <t>General Details</t>
  </si>
  <si>
    <t>Live Since</t>
  </si>
  <si>
    <t>Services</t>
  </si>
  <si>
    <t>Entitled</t>
  </si>
  <si>
    <t>Comments</t>
  </si>
  <si>
    <t>Client Time Zone</t>
  </si>
  <si>
    <t>EST</t>
  </si>
  <si>
    <t>Application Monitoring(AM) - PROD</t>
  </si>
  <si>
    <t>Yes</t>
  </si>
  <si>
    <t>Business Hrs.</t>
  </si>
  <si>
    <t>8:00am to 5:00pm</t>
  </si>
  <si>
    <t>Business Assistance(BA)</t>
  </si>
  <si>
    <t>No</t>
  </si>
  <si>
    <t>Client Contact Details</t>
  </si>
  <si>
    <t>Mailing Group</t>
  </si>
  <si>
    <t xml:space="preserve">goldensourceoperations@hoopp.com </t>
  </si>
  <si>
    <t>Custom Configuration Management(CM)</t>
  </si>
  <si>
    <t>Implementation Details</t>
  </si>
  <si>
    <t>Application Version</t>
  </si>
  <si>
    <t>8.9.0</t>
  </si>
  <si>
    <t>Modules</t>
  </si>
  <si>
    <t>Security Master</t>
  </si>
  <si>
    <t>Price Master</t>
  </si>
  <si>
    <t>Workload Details IST</t>
  </si>
  <si>
    <t>Shift</t>
  </si>
  <si>
    <t xml:space="preserve">Timing </t>
  </si>
  <si>
    <t>Workload</t>
  </si>
  <si>
    <t>GoldenCopy</t>
  </si>
  <si>
    <t>Night</t>
  </si>
  <si>
    <t>12:00am to 04:00am</t>
  </si>
  <si>
    <t>High</t>
  </si>
  <si>
    <t>VDDB</t>
  </si>
  <si>
    <t>Night-Morning</t>
  </si>
  <si>
    <t>04:00am to 08:00am</t>
  </si>
  <si>
    <t>DWH</t>
  </si>
  <si>
    <t>Morning</t>
  </si>
  <si>
    <t>08:00am to 12:00pm</t>
  </si>
  <si>
    <t>Low</t>
  </si>
  <si>
    <t>Insight</t>
  </si>
  <si>
    <t>Morning-Afternoon</t>
  </si>
  <si>
    <t>12:00pm to 04:00pm</t>
  </si>
  <si>
    <t>Talend</t>
  </si>
  <si>
    <t>Afternoon</t>
  </si>
  <si>
    <t>04:00pm to 08:00pm</t>
  </si>
  <si>
    <t>Scheduler</t>
  </si>
  <si>
    <t>Job Scheduler</t>
  </si>
  <si>
    <t>Afternoon-Night</t>
  </si>
  <si>
    <t>08:00pm to 12:00am</t>
  </si>
  <si>
    <t>Clustered</t>
  </si>
  <si>
    <t>App. Server</t>
  </si>
  <si>
    <t>Jboss</t>
  </si>
  <si>
    <t>Queue Config</t>
  </si>
  <si>
    <t>Vendor Details</t>
  </si>
  <si>
    <t>Bloomberg</t>
  </si>
  <si>
    <t>http://service.bloomberg.com
Urgent issues: 1-212-617-4390
Global Technical Support: 1-212-318-2000</t>
  </si>
  <si>
    <t>Markit</t>
  </si>
  <si>
    <t>support@markit.com
red@ihsmarkit.com
CALL THIS NUMBER - GOES TO ALL INDIA SUPPORT STAFF:
+91 120 611 8051
MK-ValHOOPP@ihsmarkit.com
Kamal.Sehgal@ihsmarkit.com
Vrinda.Pal@ihsmarkit.com
Managers:
Sachin.Singhal@ihsmarkit.com
Rajesh.Kumar2@ihsmarkit.com
Toronto Staff:
spencer.wiseman@ihsmarkit.com
Abhinit.Kumar@ihsmarkit.com</t>
  </si>
  <si>
    <t>S&amp;P</t>
  </si>
  <si>
    <t>Product.Notification &lt;Product.Notification@spglobal.com&gt;</t>
  </si>
  <si>
    <t>FTSE</t>
  </si>
  <si>
    <t>PC-Bond Index Team &lt;pcbond@FTSERussell.com&gt;
Always CC:  Info@ftserussell.com
Front Desk:  Phone: 1-866-551-0617</t>
  </si>
  <si>
    <t>S&amp;P Index</t>
  </si>
  <si>
    <t>Index_services@spdji.com
index_services@spglobal.com
Phone: 1-212-438-2046</t>
  </si>
  <si>
    <t>SVC</t>
  </si>
  <si>
    <t>dco@ssnc.com
SVC-ClientSupport@sscinc.com
Portch, Glenn &lt;gportch@sscinc.com&gt;
Garito, Nick &lt;ngarito@sscinc.com&gt;
Martinis, Peter pmartinis@sscinc.com
call 905 629-8000 and choose prompt #1, then prompt #7 for SVC</t>
  </si>
  <si>
    <t>ICE</t>
  </si>
  <si>
    <t>icelinksupport@theice.com
icelinkhelp@theice.com</t>
  </si>
  <si>
    <t>Simcorp</t>
  </si>
  <si>
    <t>goldensourceoperations@hoopp.com 
for now HOOPP To CHECK INTERNALLY</t>
  </si>
  <si>
    <t>Moody's</t>
  </si>
  <si>
    <r>
      <rPr>
        <u/>
        <sz val="11"/>
        <color rgb="FF0563C1"/>
        <rFont val="Calibri"/>
        <family val="2"/>
        <scheme val="minor"/>
      </rPr>
      <t xml:space="preserve">goldensourceoperations@hoopp.com 
</t>
    </r>
    <r>
      <rPr>
        <sz val="11"/>
        <color rgb="FF000000"/>
        <rFont val="Calibri"/>
        <family val="2"/>
        <scheme val="minor"/>
      </rPr>
      <t>for now HOOPP To CHECK INTERNALLY</t>
    </r>
  </si>
  <si>
    <t xml:space="preserve">EST to IST </t>
  </si>
  <si>
    <t>ic</t>
  </si>
  <si>
    <t>Depends Job #</t>
  </si>
  <si>
    <t>Job Category</t>
  </si>
  <si>
    <t>Parent Workflow</t>
  </si>
  <si>
    <t>Job Chain Name</t>
  </si>
  <si>
    <t>Sub-Application</t>
  </si>
  <si>
    <t>Task Name in Job Scheduler</t>
  </si>
  <si>
    <t>Schema</t>
  </si>
  <si>
    <t>Node</t>
  </si>
  <si>
    <t>Task Type</t>
  </si>
  <si>
    <t>Input or Output File Names</t>
  </si>
  <si>
    <t>FileName</t>
  </si>
  <si>
    <t>Time Trigerred (CST/CDT)</t>
  </si>
  <si>
    <t>Time Trigerred (EST/EDT)</t>
  </si>
  <si>
    <t>Time Trigerred Until (EST)</t>
  </si>
  <si>
    <t>Time Trigerred (IST)</t>
  </si>
  <si>
    <t>Timeline(EST)</t>
  </si>
  <si>
    <t>File polling interval</t>
  </si>
  <si>
    <t>Alerts for Fileload</t>
  </si>
  <si>
    <t>Frequency</t>
  </si>
  <si>
    <t>Holiday Calendar Followed</t>
  </si>
  <si>
    <t>Event/ Script Used</t>
  </si>
  <si>
    <t>Properties files</t>
  </si>
  <si>
    <t>Part of Regression Testing</t>
  </si>
  <si>
    <t>File Path on the AS or JNM FTP</t>
  </si>
  <si>
    <t>Summary of the Job</t>
  </si>
  <si>
    <t>UC4 workflow</t>
  </si>
  <si>
    <t>Critical Job?</t>
  </si>
  <si>
    <t>Avg. Time to Finish</t>
  </si>
  <si>
    <t>Business SLO (EST)</t>
  </si>
  <si>
    <t>OMNI SLO (EST)</t>
  </si>
  <si>
    <t>Max Alert Threshold (mins)</t>
  </si>
  <si>
    <t>Configured Alerts</t>
  </si>
  <si>
    <t>Alert Send To</t>
  </si>
  <si>
    <t>Instructions/Actions</t>
  </si>
  <si>
    <t>Escalation Path</t>
  </si>
  <si>
    <t>OMNI Readiness Check File Name</t>
  </si>
  <si>
    <t>OMNI PIpeline Name to Check</t>
  </si>
  <si>
    <t>OMNI Readiness Check File Name Date (considering Effective Date = T)</t>
  </si>
  <si>
    <t>Job Chain Run Date (considering Effective Date = T)
E.g. T+1 means Monday's data will be loaded on Tuesday</t>
  </si>
  <si>
    <t>UC4 SLO (EST)</t>
  </si>
  <si>
    <t>Mon</t>
  </si>
  <si>
    <t>Tue</t>
  </si>
  <si>
    <t>Wed</t>
  </si>
  <si>
    <t>Thu</t>
  </si>
  <si>
    <t>Fri</t>
  </si>
  <si>
    <t>Sat</t>
  </si>
  <si>
    <t>Sun</t>
  </si>
  <si>
    <t>Standalone</t>
  </si>
  <si>
    <t>EQUITY</t>
  </si>
  <si>
    <t>HOOPP_BB_Generic_Schedule/HOOPP_BB_GENERIC_Req_FileLoad</t>
  </si>
  <si>
    <t>GC</t>
  </si>
  <si>
    <t xml:space="preserve">BB Request </t>
  </si>
  <si>
    <t>BB Generic Req</t>
  </si>
  <si>
    <t>GS.BB.GENERIC.out.20240828</t>
  </si>
  <si>
    <t>T+1</t>
  </si>
  <si>
    <t>Daily(Mon-Fri)</t>
  </si>
  <si>
    <t>Y</t>
  </si>
  <si>
    <t>File Load Alert - GS MS Only (GS to chase Vendor directly)
SLO Alert - GS MS, HOOPP</t>
  </si>
  <si>
    <t>http://service.bloomberg.com
Urgent issues: 1-212-617-4390
Global Technical Support: 1-212-318-2000; DXC Contact: DXC Overnight Tier 1 &lt;dxcovernighttier1@hoopp.com&gt;</t>
  </si>
  <si>
    <t>PLEASE SPECIFY WHAT IS IN THIS FILE SMF OR PRICE FILES?</t>
  </si>
  <si>
    <t>HOOPP_BB_Generic_Resp_Schedule/HOOPP_BB_Trig_GENERIC_FileLoad</t>
  </si>
  <si>
    <t>FileLoad</t>
  </si>
  <si>
    <t>BB Generic Response</t>
  </si>
  <si>
    <t>Every 1 min</t>
  </si>
  <si>
    <t>15 mins</t>
  </si>
  <si>
    <t>HOOPP_BB_Trig_GENERIC_FileLoad</t>
  </si>
  <si>
    <t>HOOPP_BB_CAX_Req_FileLoad</t>
  </si>
  <si>
    <t>BB Corporate Action Request</t>
  </si>
  <si>
    <t>GS.BB.CAX.out.20240828</t>
  </si>
  <si>
    <t>Daily(Mon-Sun)</t>
  </si>
  <si>
    <t>GS.BB.CAX.out.YYYYMMDD</t>
  </si>
  <si>
    <t>GoldenSource Security Reference Pipeline</t>
  </si>
  <si>
    <t>31,2</t>
  </si>
  <si>
    <t>HOOPP_BB_ALL_Req_FileLoad</t>
  </si>
  <si>
    <t>BB All Asset Class Request except FX(Currency)</t>
  </si>
  <si>
    <t>GS.BB.EQFND.out.20240828
GS.BB.CURNCY.out.20240828
GS.BB.NONEQOPT.out.20240828
GS.BB.EQTY.out.20240828
GS.BB.MUNI.out.20240828
GS.BB.EQWRNT.out.20240828
GS.BB.GENTICKERS.out.20240828
GS.BB.EQOPTINDX.out.20240828
GS.BB.CP.out.20240828
GS.BB.PFD.out.20240828
GS.BB.CORPGOV.out.20240828
GS.BB.MTGE.out.20240828
GS.BB.MMKT.out.20240828</t>
  </si>
  <si>
    <t>Daily(Tue-Sat)</t>
  </si>
  <si>
    <t>MARKIT</t>
  </si>
  <si>
    <t>HOOPP_MOTC_DAILY_SG_FileLoad / HOOPP_MOTC_DAILY_SG_FileLoad_Monday</t>
  </si>
  <si>
    <t>Fileload</t>
  </si>
  <si>
    <t>Markit OTC Fileload</t>
  </si>
  <si>
    <t>HOOPP_SG_DAILY.01Nov24.csv</t>
  </si>
  <si>
    <t>Every 10 min</t>
  </si>
  <si>
    <t>MARKIT_HOLIDAYPLUS1</t>
  </si>
  <si>
    <t>HOOPP_MOTC_DAILY_SG_FileLoad</t>
  </si>
  <si>
    <t>Vendor Technical Contact:
General
support@spglobal.com
index_services@spglobal.com
Michael.Stone@ihsmarkit.com
For any escalation or urgent request:  referencedataclientservice@spglobal.com
SFTP issues: data.delivery@ihsmarkit.com 
CALL THIS NUMBER - GOES TO ALL INDIA SUPPORT STAFF:
+91 120 611 8051
MK-ValHOOPP@ihsmarkit.com
Kamal.Sehgal@ihsmarkit.com
Vrinda.Pal@ihsmarkit.com
Managers:
Sachin.Singhal@ihsmarkit.com
Rajesh.Kumar2@ihsmarkit.com
Toronto Staff:
spencer.wiseman@ihsmarkit.com
Abhinit.Kumar@ihsmarkit.com
Red
red@spglobal.com
support@spglobal.com
Markit Vol
OTCDD@spglobal.com
After Hours support: +1 877 762 7548 
Corporate Action
markitcorporateactions@ihsmarkit.com
managedcorporateactions@ihsmarkit.com 
support@markit.com
PE Vals (related to CIFC)
MK-PEHOOPP@ihsmarkit.com
DL-PE-PEValsSupport@ihsmarkit.com
Ashwani.Rai@ihsmarkit.com
Vendor Business Contact:
Lucas Pettella's Team - 1st point of contact
Portfolio Valuation: MK-ValHOOPP@ihsmarkit.com (sydney.workman@spglobal.com, nikita.zinchenko@spglobal.com)
CDS Pricing Data: cdssupport@ihsmarkit.com
EBS (Formerly known as DeltaOne): DeltaOneSupport@ihsmarkit.com
OTC Derivatives Data: OTCDD@spglobal.com
CDS Reference Data: red@spglobal.com
Iboxx Indices: indices@ihsmarkit.com
Cameron Lounsbery (Director - Account Management)
Email: Cameron.Lounsbery@spglobal.com
Phone: (416)304-6587</t>
  </si>
  <si>
    <t>HOOPP_MOTC_DAILY_SG_2_FileLoad / HOOPP_MOTC_DAILY_SG_2_FileLoad_Monday</t>
  </si>
  <si>
    <t>HOOPP_SG_DAILY_2.01Nov24.csv</t>
  </si>
  <si>
    <t>HOOPP_MOTC_DAILY_SG_2_FileLoad</t>
  </si>
  <si>
    <r>
      <rPr>
        <strike/>
        <sz val="10"/>
        <color rgb="FF000000"/>
        <rFont val="Calibri"/>
        <scheme val="minor"/>
      </rPr>
      <t xml:space="preserve">HOOPP_PricePublishing_OTC
</t>
    </r>
    <r>
      <rPr>
        <sz val="10"/>
        <color rgb="FF000000"/>
        <rFont val="Calibri"/>
        <scheme val="minor"/>
      </rPr>
      <t>HOOPP_PricePublishing_OTC_DAILY</t>
    </r>
  </si>
  <si>
    <t>Markit OTC Price Publishing (Silver+Gold)
- Price Derivation
- Price Valication
- Price Denorm
- Price Publishing</t>
  </si>
  <si>
    <t>Price Publishing</t>
  </si>
  <si>
    <t>Gold-copy for:
MarkitSOI_CDX_TRANCHE
MarkitSOI_BESPOKE</t>
  </si>
  <si>
    <r>
      <rPr>
        <strike/>
        <sz val="10"/>
        <color rgb="FF000000"/>
        <rFont val="Calibri"/>
        <scheme val="minor"/>
      </rPr>
      <t xml:space="preserve">Daily(Tue-Sat)
</t>
    </r>
    <r>
      <rPr>
        <sz val="10"/>
        <color rgb="FF000000"/>
        <rFont val="Calibri"/>
        <scheme val="minor"/>
      </rPr>
      <t>Daily(Mon-Fri)</t>
    </r>
  </si>
  <si>
    <t>HOOPP_PricePublishing_OTC_DAILY</t>
  </si>
  <si>
    <t>HOOPP_SG_DAILY.DDMonYY.csv</t>
  </si>
  <si>
    <t>GoldenSource Market Data Solution Hub Pipeline</t>
  </si>
  <si>
    <t>T (on Mo this is Friday)</t>
  </si>
  <si>
    <t>T+3</t>
  </si>
  <si>
    <r>
      <rPr>
        <strike/>
        <sz val="10"/>
        <color rgb="FF000000"/>
        <rFont val="Calibri"/>
        <scheme val="minor"/>
      </rPr>
      <t xml:space="preserve">HOOPP_PricePublishing_OTC
</t>
    </r>
    <r>
      <rPr>
        <sz val="10"/>
        <color rgb="FF000000"/>
        <rFont val="Calibri"/>
        <scheme val="minor"/>
      </rPr>
      <t>HOOPP_PricePublishing_OTC_DAILY_2</t>
    </r>
  </si>
  <si>
    <t>Gold-copy for:
MarkitSOI_ABX
MarkitSOI_CDX_OPT</t>
  </si>
  <si>
    <t>HOOPP_PricePublishing_OTC_DAILY_2</t>
  </si>
  <si>
    <t>HOOPP_SG_DAILY_2.DDMonYY.csv</t>
  </si>
  <si>
    <t>T</t>
  </si>
  <si>
    <t>HOOPP_BB_ALL_Resp_FileLoad</t>
  </si>
  <si>
    <t>BB All Asset Response</t>
  </si>
  <si>
    <t>GS.BB.EQTY.out.YYYYMMDD</t>
  </si>
  <si>
    <t>HOOPP_BB_Trig_CAX_FileLoad</t>
  </si>
  <si>
    <t xml:space="preserve">BB Corporate Action Response </t>
  </si>
  <si>
    <t>HOOPP_Markit_REDEntity_FileLoad</t>
  </si>
  <si>
    <t>Markit RED Obligation</t>
  </si>
  <si>
    <r>
      <rPr>
        <strike/>
        <sz val="10"/>
        <color rgb="FF000000"/>
        <rFont val="Calibri"/>
        <family val="2"/>
        <scheme val="minor"/>
      </rPr>
      <t xml:space="preserve">V10%20Red%20Obligation1724826602201.xml
</t>
    </r>
    <r>
      <rPr>
        <sz val="10"/>
        <color rgb="FF000000"/>
        <rFont val="Calibri"/>
        <family val="2"/>
        <scheme val="minor"/>
      </rPr>
      <t>V11%20Red%20Obligation1724826602201.xml</t>
    </r>
  </si>
  <si>
    <t>Every 5 mins</t>
  </si>
  <si>
    <t>16 mins</t>
  </si>
  <si>
    <r>
      <rPr>
        <strike/>
        <sz val="10"/>
        <color rgb="FF000000"/>
        <rFont val="Calibri"/>
        <scheme val="minor"/>
      </rPr>
      <t xml:space="preserve">Daily(Mon-Fri)
</t>
    </r>
    <r>
      <rPr>
        <sz val="10"/>
        <color rgb="FF000000"/>
        <rFont val="Calibri"/>
        <scheme val="minor"/>
      </rPr>
      <t>Daily(Tue-Sat)</t>
    </r>
  </si>
  <si>
    <t>V11_Red_Obligation_YYYYMMDD.xml</t>
  </si>
  <si>
    <t>Markit RED Entity</t>
  </si>
  <si>
    <r>
      <rPr>
        <strike/>
        <sz val="10"/>
        <color rgb="FF000000"/>
        <rFont val="Calibri"/>
        <family val="2"/>
        <scheme val="minor"/>
      </rPr>
      <t xml:space="preserve">V11%20Red%20Entity1724826870563.xml
</t>
    </r>
    <r>
      <rPr>
        <sz val="10"/>
        <color rgb="FF000000"/>
        <rFont val="Calibri"/>
        <family val="2"/>
        <scheme val="minor"/>
      </rPr>
      <t>V12_Red_Entity_20250219.xml</t>
    </r>
  </si>
  <si>
    <t>V12_Red_Entity_YYYYMMDD.xml</t>
  </si>
  <si>
    <t>HOOPP_CreditIndexPricing_FileLoad</t>
  </si>
  <si>
    <t>Markit Credit Index Price (T-1)</t>
  </si>
  <si>
    <t>New_Credit_Index_Pricing_20240827.zip
New_Credit_Index_Pricing_20240827.zip
New_Credit_Index_Pricing_20240827.zip</t>
  </si>
  <si>
    <t>Update to reflect 3 file loads</t>
  </si>
  <si>
    <t>HOOPP_PricePublishing_MarkitSOI_CDX_CDS</t>
  </si>
  <si>
    <r>
      <t xml:space="preserve">Silver &amp; gold for MarkitSOI_CDX_CDS
Silver prices &amp; key figures for </t>
    </r>
    <r>
      <rPr>
        <b/>
        <sz val="10"/>
        <color theme="1"/>
        <rFont val="Calibri"/>
        <family val="2"/>
        <scheme val="minor"/>
      </rPr>
      <t>all</t>
    </r>
    <r>
      <rPr>
        <sz val="10"/>
        <color theme="1"/>
        <rFont val="Calibri"/>
        <family val="2"/>
        <scheme val="minor"/>
      </rPr>
      <t xml:space="preserve"> Markit Credit Index securities</t>
    </r>
  </si>
  <si>
    <t>New_Credit_Index_Pricing_YYYYMMDD.zip</t>
  </si>
  <si>
    <t>36, 10</t>
  </si>
  <si>
    <t>Silver &amp; gold for MarkitSOI_CC_CDX_CDS</t>
  </si>
  <si>
    <r>
      <rPr>
        <strike/>
        <sz val="10"/>
        <color rgb="FF000000"/>
        <rFont val="Calibri"/>
        <family val="2"/>
        <scheme val="minor"/>
      </rPr>
      <t xml:space="preserve">HOOPP_CreditIndexPricing_FileLoad
</t>
    </r>
    <r>
      <rPr>
        <sz val="10"/>
        <color rgb="FF000000"/>
        <rFont val="Calibri"/>
        <family val="2"/>
        <scheme val="minor"/>
      </rPr>
      <t>HOOPP_CDSBasicPricing_FileLoad</t>
    </r>
  </si>
  <si>
    <t>Markit Composite CDS Basic Pricing(T-1)</t>
  </si>
  <si>
    <t>Composite_CDS_Basic_Pricing_20240827.zip</t>
  </si>
  <si>
    <t>HOOPP_CDSBasicPricing_FileLoad</t>
  </si>
  <si>
    <t>Markit Composite CDS Price Publishing (Silver)
- Price Denorm
- Price Publishing</t>
  </si>
  <si>
    <t>Silver prices &amp; key figures for all Markit Spread securities</t>
  </si>
  <si>
    <t>HOOPP_PricePublishing_Markit_Schedule</t>
  </si>
  <si>
    <t>HOOPP_BB_CreditRisk_FileLoad</t>
  </si>
  <si>
    <t>BB Corporate Structure(T-1)</t>
  </si>
  <si>
    <t>creditRiskV3.dif.gz</t>
  </si>
  <si>
    <t>Every 10 mins</t>
  </si>
  <si>
    <t>21 mins</t>
  </si>
  <si>
    <t>Issuer data, No SOI</t>
  </si>
  <si>
    <t>NA (Date not available in the filename)</t>
  </si>
  <si>
    <t>HOOPP_Moodys_FileLoad</t>
  </si>
  <si>
    <t>Moody's RDS Instrument Ratings(24Hour delta)</t>
  </si>
  <si>
    <t>cfg_inst_current_rating_00_Utf8_24Hour_Delta_000028_20240828_000000_part01_0110final.split
cfg_inst_current_rating_00_Utf8_24Hour_Delta_000028_20240828_000000_part01_0111final.split
cfg_inst_current_rating_00_Utf8_24Hour_Delta_000028_20240828_000000_part01_0115final.split
cfg_inst_current_rating_00_Utf8_24Hour_Delta_000028_20240828_000000_part01_011final.split
cfg_inst_current_rating_00_Utf8_24Hour_Delta_000028_20240828_000000_part01_012final.split
cfg_inst_current_rating_00_Utf8_24Hour_Delta_000028_20240828_000000_part01_013final.split
cfg_inst_current_rating_00_Utf8_24Hour_Delta_000028_20240828_000000_part01_014final.split
cfg_inst_current_rating_00_Utf8_24Hour_Delta_000028_20240828_000000_part01_015final.split
cfg_inst_current_rating_00_Utf8_24Hour_Delta_000028_20240828_000000_part01_016final.split
cfg_inst_current_rating_00_Utf8_24Hour_Delta_000028_20240828_000000_part01_017final.split
cfg_inst_current_rating_00_Utf8_24Hour_Delta_000028_20240828_000000_part01_018final.split</t>
  </si>
  <si>
    <r>
      <rPr>
        <strike/>
        <sz val="10"/>
        <color rgb="FF000000"/>
        <rFont val="Calibri"/>
      </rPr>
      <t xml:space="preserve">Daily(Mon-Sat)
</t>
    </r>
    <r>
      <rPr>
        <sz val="10"/>
        <color rgb="FF000000"/>
        <rFont val="Calibri"/>
      </rPr>
      <t>Daily(Sun-Fri)</t>
    </r>
  </si>
  <si>
    <t>Maura Bermiss:  Maura.Bermiss@moodys.com</t>
  </si>
  <si>
    <t>cfg_inst_current_rating_00_Utf8_24Hour_Delta_0000DD_YYYYMMDD_000000_part01*.split</t>
  </si>
  <si>
    <t>Moody's RDS Organization Ratings (24Hour delta)</t>
  </si>
  <si>
    <t>cfg_organization_current_rating_00_Utf8_24Hour_Delta_000028_20240828_000000_part01_010.split
cfg_organization_current_rating_00_Utf8_24Hour_Delta_000028_20240828_000000_part01_011.split
cfg_organization_current_rating_00_Utf8_24Hour_Delta_000028_20240828_000000_part01_012.split
cfg_organization_current_rating_00_Utf8_24Hour_Delta_000028_20240828_000000_part01_013.split
cfg_organization_current_rating_00_Utf8_24Hour_Delta_000028_20240828_000000_part01_014.split
cfg_organization_current_rating_00_Utf8_24Hour_Delta_000028_20240828_000000_part01_015.split
cfg_organization_current_rating_00_Utf8_24Hour_Delta_000028_20240828_000000_part01_016.split</t>
  </si>
  <si>
    <t>cfg_organization_current_rating_00_Utf8_24Hour_Delta_0000DD_YYYYMMDD_000000_part01*.split</t>
  </si>
  <si>
    <t>BB Silver + Equities Gold Prices
- Price Derivation
- Price Valication
- Price Denorm
- Price Publishing</t>
  </si>
  <si>
    <t>HOOPP_PricePublishing_Equity_Schedule</t>
  </si>
  <si>
    <t> </t>
  </si>
  <si>
    <t>HOOPP_Moodys_FullFile_FileLoad</t>
  </si>
  <si>
    <t>Moody's RDS Instrument Ratings(baseline)</t>
  </si>
  <si>
    <t>cfg_inst_current_rating_Utf8_Baseline_Daily_20241027_000000_part09_0995final.split
cfg_inst_current_rating_Utf8_Baseline_Daily_20241027_000000_part09_0999final.split
cfg_inst_current_rating_Utf8_Baseline_Daily_20241027_000000_part09_0998final.split
cfg_inst_current_rating_Utf8_Baseline_Daily_20241027_000000_part09_0988final.split
cfg_inst_current_rating_Utf8_Baseline_Daily_20241027_000000_part09_0992final.split</t>
  </si>
  <si>
    <t>30 mins</t>
  </si>
  <si>
    <t>cfg_inst_current_rating_Utf8_Baseline_Daily_YYYYMMDD_000000_part01*.split</t>
  </si>
  <si>
    <t>Moody's RDS Organization Ratings (baseline)</t>
  </si>
  <si>
    <t>cfg_organization_current_rating_Utf8_Baseline_Daily_20241027_000000_part03_0499.split
cfg_organization_current_rating_Utf8_Baseline_Daily_20241027_000000_part03_0498.split
cfg_organization_current_rating_Utf8_Baseline_Daily_20241027_000000_part03_0497.split
cfg_organization_current_rating_Utf8_Baseline_Daily_20241027_000000_part03_0495.split</t>
  </si>
  <si>
    <t>cfg_organization_current_rating_Utf8_Baseline_Daily_YYYYMMDD_000000_part01*.split</t>
  </si>
  <si>
    <t>HOOPP_SCD_4AM_FileLoad</t>
  </si>
  <si>
    <t xml:space="preserve">Simcorp </t>
  </si>
  <si>
    <t>SCD_SMF_280824040122.csv</t>
  </si>
  <si>
    <t>Every 3 mins</t>
  </si>
  <si>
    <t>10 mins</t>
  </si>
  <si>
    <t>Daily(Mon-Sat)</t>
  </si>
  <si>
    <t>y</t>
  </si>
  <si>
    <t>DXC Overnight Tier 1 &lt;dxcovernighttier1@hoopp.com&gt;; Golden Source Operations &lt;goldensourceoperations@hoopp.com&gt;; ISG-DTS-Operations &lt;isg-dts-operations@hoopp.com&gt;</t>
  </si>
  <si>
    <t>HOOPP_Markit_REDINDICES_CDX_FileLoad</t>
  </si>
  <si>
    <t>Markit RED Credit Indices CDX</t>
  </si>
  <si>
    <r>
      <rPr>
        <strike/>
        <sz val="10"/>
        <color rgb="FF000000"/>
        <rFont val="Calibri"/>
        <family val="2"/>
        <scheme val="minor"/>
      </rPr>
      <t xml:space="preserve">V10%20Red%20Indices1724832057006.xml
</t>
    </r>
    <r>
      <rPr>
        <sz val="10"/>
        <color rgb="FF000000"/>
        <rFont val="Calibri"/>
        <family val="2"/>
        <scheme val="minor"/>
      </rPr>
      <t>V11_CDX_Red_Indices_20250129.xml
V11_CDX_Red_Indices_20250129.xml.inxdup
V11_CDX_Red_Indices_20250129.xml.dedup</t>
    </r>
  </si>
  <si>
    <t>V11_CDX_Red_Indices_YYYYMMDD.xml</t>
  </si>
  <si>
    <t>Markit RED Credit Indices EURO</t>
  </si>
  <si>
    <r>
      <rPr>
        <strike/>
        <sz val="10"/>
        <color rgb="FF000000"/>
        <rFont val="Calibri"/>
        <family val="2"/>
        <scheme val="minor"/>
      </rPr>
      <t xml:space="preserve">V10%20Red%20Indices%20Dynamic1724832001075.xml
</t>
    </r>
    <r>
      <rPr>
        <sz val="10"/>
        <color rgb="FF000000"/>
        <rFont val="Calibri"/>
        <family val="2"/>
        <scheme val="minor"/>
      </rPr>
      <t xml:space="preserve">V11_ITRAXX-EUROPE_Red_Indices_20250129.xml
V11_ITRAXX-EUROPE_Red_Indices_20250129.xml.inxdup
V11_ITRAXX-EUROPE_Red_Indices_20250129.xml.dedup
</t>
    </r>
  </si>
  <si>
    <t>V11_ITRAXX-EUROPE_Red_Indices_YYYYMMDD.xml</t>
  </si>
  <si>
    <t>Markit RED Credit Indices ASIA</t>
  </si>
  <si>
    <r>
      <rPr>
        <strike/>
        <sz val="10"/>
        <color rgb="FF000000"/>
        <rFont val="Calibri"/>
        <family val="2"/>
        <scheme val="minor"/>
      </rPr>
      <t xml:space="preserve">V10%20Red%20Indices%20Dynamic1724832091625.xml
</t>
    </r>
    <r>
      <rPr>
        <sz val="10"/>
        <color rgb="FF000000"/>
        <rFont val="Calibri"/>
        <family val="2"/>
        <scheme val="minor"/>
      </rPr>
      <t xml:space="preserve">V11_ITRAXX-ASIA_Red_Indices_20250129.xml
V11_ITRAXX-ASIA_Red_Indices_20250129.xml.inxdup
V11_ITRAXX-ASIA_Red_Indices_20250129.xml.dedup
</t>
    </r>
  </si>
  <si>
    <t>V11_ITRAXX-ASIA_Red_Indices_YYYYMMDD.xml</t>
  </si>
  <si>
    <t>Markit RED Credit Indices SOVX</t>
  </si>
  <si>
    <r>
      <rPr>
        <strike/>
        <sz val="10"/>
        <color rgb="FF000000"/>
        <rFont val="Calibri"/>
        <family val="2"/>
        <scheme val="minor"/>
      </rPr>
      <t xml:space="preserve">V10%20Red%20Indices%20Dynamic1724832091625.xml
</t>
    </r>
    <r>
      <rPr>
        <sz val="10"/>
        <color rgb="FF000000"/>
        <rFont val="Calibri"/>
        <family val="2"/>
        <scheme val="minor"/>
      </rPr>
      <t xml:space="preserve">V11_ITRAXX-SOVX_Red_Indices_20250129.xml.dedup
V11_ITRAXX-SOVX_Red_Indices_20250129.xml.inxdup
V11_ITRAXX-SOVX_Red_Indices_20250129.xml
</t>
    </r>
  </si>
  <si>
    <t>V11_ITRAXX-SOVX_Red_Indices_YYYYMMDD.xml</t>
  </si>
  <si>
    <t>Markit Load</t>
  </si>
  <si>
    <t>Markit Silver Prices
- Price Denorm
- Price Publishing</t>
  </si>
  <si>
    <t>Please remove this line - replaced by 11.1</t>
  </si>
  <si>
    <t xml:space="preserve">Workflow fail Alert Load Alert - GS MS Only </t>
  </si>
  <si>
    <t>HOOPP_PricePublishing_ReconMismatch</t>
  </si>
  <si>
    <t>WM and Makit CDX Silver Prices
- Price Publishing</t>
  </si>
  <si>
    <t>HOOPP_PricePublishing_ReconMismatch_Monday</t>
  </si>
  <si>
    <t>Makit CDX Silver Prices
- Price Publishing</t>
  </si>
  <si>
    <r>
      <rPr>
        <strike/>
        <sz val="10"/>
        <color rgb="FF000000"/>
        <rFont val="Calibri"/>
        <scheme val="minor"/>
      </rPr>
      <t xml:space="preserve">HOOPP_SnP_Full_FileLoad
</t>
    </r>
    <r>
      <rPr>
        <sz val="10"/>
        <color rgb="FF000000"/>
        <rFont val="Calibri"/>
        <scheme val="minor"/>
      </rPr>
      <t>RATINGS_FULL</t>
    </r>
  </si>
  <si>
    <t>S&amp;P Ratings (Issue &amp; issuer) - Weekly Full</t>
  </si>
  <si>
    <t>spInstrumentToEntity20240915091505.entity
spAssessmentData20240915091505.entity
spRatingData20240915091505.entity
spInstrumentToEntity20240915091505.security
spAssessmentData20240915091505.security
spRatingData20240915091505.security
spSecurityLevelData20240915091505.security
spInstrumentToEntity20240915091505.final
spRatingData20240915091505.final
spSecurityLevelData20240915091505.final
spAssessmentData20240915091505.final</t>
  </si>
  <si>
    <t>spInstrumentToEntityYYYYMMDD??????.entity</t>
  </si>
  <si>
    <t>HOOPP_WM_FileLoad</t>
  </si>
  <si>
    <t>WMR</t>
  </si>
  <si>
    <t>wmr1911.csv
rusd19112024.csv</t>
  </si>
  <si>
    <t>WM_HOLIDAY</t>
  </si>
  <si>
    <t xml:space="preserve">wmr.ops &lt;wmr.ops@lseg.com&gt; 
wmr.ops@mrelay.lseg.com
 </t>
  </si>
  <si>
    <t>WM Silver Prices
- Price Denorm
- Price Publishing</t>
  </si>
  <si>
    <t>rusdDDMMYYYY_preprocessed.csv
wmrDDMM_preprocessed.csv</t>
  </si>
  <si>
    <t>wmrDDMM_preprocessed.csv</t>
  </si>
  <si>
    <t>HOOPP_SCD_3PM_FileLoad</t>
  </si>
  <si>
    <t>SCD_SMF_280824150141.csv</t>
  </si>
  <si>
    <t>This SMF load is used for SVC price workflow. 
3:10PM SMF load does not exist in PACE current state</t>
  </si>
  <si>
    <t>e.g. alert after 1 hour, send email, fail job, run job anyway, etc.</t>
  </si>
  <si>
    <t>HOOPP_BB_FX_REQ_Schedule</t>
  </si>
  <si>
    <t>BB Followon Request FXSOI</t>
  </si>
  <si>
    <t>GS.BB.FX.out.20240828</t>
  </si>
  <si>
    <t>2 mins</t>
  </si>
  <si>
    <t>FX rate request to Bloomberg</t>
  </si>
  <si>
    <t>REQUEST.BBPS_FX</t>
  </si>
  <si>
    <t>Chain</t>
  </si>
  <si>
    <t>HOOPP_BB_FX_Resp_Schedule</t>
  </si>
  <si>
    <t>HOOPP_BB_Trig_FX_FileLoad</t>
  </si>
  <si>
    <t>BB Followon Response FXSOI</t>
  </si>
  <si>
    <t>HOOPP_EVT_BBScheduledResponseWrapper</t>
  </si>
  <si>
    <t>HOOPP_BB_Trig_FX_FileLoad.json</t>
  </si>
  <si>
    <t>FX rate return from Bloomberg</t>
  </si>
  <si>
    <t>RETURN.BBPS_FX</t>
  </si>
  <si>
    <t>Pricing (Validation)</t>
  </si>
  <si>
    <t>Final FX Price Validation + Publishing</t>
  </si>
  <si>
    <t>GS.BB.FX.out.20250128</t>
  </si>
  <si>
    <t>URGENT TIME CRITICAL PUBLISH TO SF Assumption is that GS will only publish the validated prices</t>
  </si>
  <si>
    <t>GS.BB.FX.out.YYYYMMDD</t>
  </si>
  <si>
    <t>BONDS</t>
  </si>
  <si>
    <t>HOOPP_FTSE_FileLoad</t>
  </si>
  <si>
    <t>idxdetail_dbi_uo_20240828.csv
scmmkt_20240828.csv
idxsummary_dbi_20240828.csv
idxsummary_rrbi_20240828.csv
idxdetail_dbi_tr_20240828.csv
idxdetail_rrbi_tr_20240828.csv
idxdetail_rrbi_uo_20240828.csv
Calculate Fund EOD Performance</t>
  </si>
  <si>
    <t>CAD1STOCKMARKET</t>
  </si>
  <si>
    <t>Incase FTSE/SVC file is delayed and HOOPP_PricePublishing_Bonds has already ran. We need to clean ISPS/GPCS and re run the HOOPP_PricePublishing_Bonds job to generate and publish Golden Prices for FI.</t>
  </si>
  <si>
    <t>idxsummary_dbi_YYYYMMDD.csv</t>
  </si>
  <si>
    <t>HOOPP_SnP_TSX_FileLoad</t>
  </si>
  <si>
    <t>S&amp;P TSX</t>
  </si>
  <si>
    <t>20240827_60CRX.SDL
20240827_60RX.SDL
20240827_JX.SDL
20240827_SPRTCM.SDL
20240827_SPRTRE.SDL
20240827_SPT60C.SDL
20240827_SPTCFFCP.SDL
20240827_SPTSCECP.SDL
20240827_SPTRED.SDL
20240827_SPTSE.SDL
20240827_SPTSEM.SDL
20240827_SPTSES.SDL
20240827_SPTSETCP.SDL
20240827_SPTSSES.SDL
20240827_SPTSX.SDL
20240827_SPTTCD.SDL
20240827_SPTTCS.SDL
20240827_SPTTEN.SDL
20240827_SPTTFS.SDL
20240827_SPTTMT.SDL
20240827_SPTTHC.SDL
20240827_SPTTIN.SDL
20240827_SPTTRE.SDL
20240827_SPTTTS.SDL
20240827_SPTTTK.SDL
20240827_SPTTUT.SDL
20240827_SPTXDFCP.SDL
20240827_SPTXEDCP.SDL
20240827_TSCE.SDL
20240827_T300C.SDL
20240827_TSXVIX.SDL
20240827_TXCT.SDL
20240827_TXDC.SDL
20240827_TXBB.SDL
20240827_TXCE.SDL
20240827_TXDE.SDL
20240827_TXDV.SDL
20240827_TXEI.SDL
20240827_TXEV.SDL
20240827_TXFF.SDL
20240827_TXEW.SDL
20240827_TXHB.SDL
20240827_TXEVLQ.SDL
20240827_TXIE.SDL
20240827_TXHE.SDL
20240827_TXLVHD.SDL
20240827_TXLV.SDL
20240827_TXOE.SDL
20240827_TXPR.SDL
20240827_TXMLQ.SDL
20240827_TXM.SDL
20240827_TXQLQ.SDL
20240827_TXQ.SDL
20240827_TXRE.SDL
20240827_TXSI.SDL
20240827_XECE.SDL
20240827_TXVHQ.SDL
20240827_TXT1.SDL
20240827_SPTSEM_CLS.SDC
20240827_SPTSES_CLS.SDC
20240827_SPTSE_CLS.SDC
20240827_SPTSSES_CLS.SDC
20240827_SPTTCD_CLS.SDC
20240827_SPTTCS_CLS.SDC
20240827_SPTTEN_CLS.SDC
20240827_SPTTFS_CLS.SDC
20240827_SPTTHC_CLS.SDC
20240827_SPTTIN_CLS.SDC
20240827_SPTTMT_CLS.SDC
20240827_SPTTRE_CLS.SDC
20240827_SPTTTK_CLS.SDC
20240827_SPTTTS_CLS.SDC
20240827_SPTTUT_CLS.SDC
20240827_TXCE_CLS.SDC
20240827_TXDE_CLS.SDC
20240827_TXEW_CLS.SDC
20240827_TXIE_CLS.SDC
20240827_TXOE_CLS.SDC</t>
  </si>
  <si>
    <t>41 mins</t>
  </si>
  <si>
    <t>Index data - Back Office file. Not based on any SOI</t>
  </si>
  <si>
    <t>YYYYMMDD_SPTSE_CLS.SDC</t>
  </si>
  <si>
    <t>HOOPP_SnP_500_FileLoad</t>
  </si>
  <si>
    <t>S&amp;P 500</t>
  </si>
  <si>
    <t>20240827_SP500.SDL
20240827_SP500_CLS.SDC</t>
  </si>
  <si>
    <t>US1STOCKMARKET</t>
  </si>
  <si>
    <t>Index constituents - - Back Office file. Not based on any SOI</t>
  </si>
  <si>
    <t>YYYYMMDD_SP500_CLS.SDC</t>
  </si>
  <si>
    <t>HOOPP_SCD_6PM_FileLoad</t>
  </si>
  <si>
    <t>SCD_SMF_280824180126.csv</t>
  </si>
  <si>
    <t xml:space="preserve">This SMF load is used for 6PM SVC price workflow. 
</t>
  </si>
  <si>
    <t>SCD.PACE.REFRESH.EARLY</t>
  </si>
  <si>
    <r>
      <t>HOOPP_</t>
    </r>
    <r>
      <rPr>
        <b/>
        <sz val="9"/>
        <color rgb="FF2E3E4E"/>
        <rFont val="Open Sans"/>
        <family val="2"/>
      </rPr>
      <t>SVC</t>
    </r>
    <r>
      <rPr>
        <sz val="9"/>
        <color rgb="FF2E3E4E"/>
        <rFont val="Open Sans"/>
        <family val="2"/>
      </rPr>
      <t>_SOI_PricingRequest_Fileload</t>
    </r>
  </si>
  <si>
    <t>Request</t>
  </si>
  <si>
    <t>SVC Request File</t>
  </si>
  <si>
    <t>SCD_SVC_REQ_TEST_*.txt</t>
  </si>
  <si>
    <t>~18:30</t>
  </si>
  <si>
    <t>Vendor Technical Contact:
dco@ssnc.com 
SVC-ClientSupport@sscinc.com
Vendor Business Contact: 
Portch, Glenn &lt;gportch@sscinc.com&gt;
Garito, Nick &lt;ngarito@sscinc.com&gt;
Martinis, Peter pmartinis@sscinc.com 
call 905 629-8000 and choose prompt #1, then prompt #7 for SVC</t>
  </si>
  <si>
    <t>HOOPP_BB_Generic_EOD_Req_Schedule</t>
  </si>
  <si>
    <t>BB Followon Request Generic</t>
  </si>
  <si>
    <t>GS.BB.EOD.GENERIC.out.20240828</t>
  </si>
  <si>
    <t>HOOPP_BB_Generic_EOD_Resp_Schedule</t>
  </si>
  <si>
    <t>BB Followon Response Generic</t>
  </si>
  <si>
    <t>HOOPP_SVC_FileLoad</t>
  </si>
  <si>
    <t>SVC Response (PRT, INACTIVE, PRICE,UNMATCHED)</t>
  </si>
  <si>
    <t>SCD_SVC_PRT_240828.TXT
SCD_SVC_PRICE_240828.TXT
SCD_SVC_UNMATCHED_240828.TXT
SCD_SVC_INACTIVE_240828.TXT</t>
  </si>
  <si>
    <t>SVC_HOLIDAY</t>
  </si>
  <si>
    <t>HOOPP_BB_MBS_EOD_Req_Schedule</t>
  </si>
  <si>
    <t>BB Followon Request MBS</t>
  </si>
  <si>
    <t>GS.BB.MBS.out.20240828</t>
  </si>
  <si>
    <t>HOOPP_BB_MBS_EOD_Resp_Schedule</t>
  </si>
  <si>
    <t>BB Followon Response MBS</t>
  </si>
  <si>
    <t>GS.BB.MBS.out.YYYYMMDD</t>
  </si>
  <si>
    <t>25,31</t>
  </si>
  <si>
    <t>HOOPP_PricePublishing_Bonds</t>
  </si>
  <si>
    <t>FTSE/SVC Silver + Bonds Gold Prices
- Price Validation
- Price Denorm
- Price Publishing</t>
  </si>
  <si>
    <t>HOOPP_PricePublishing_Bond_Schedule</t>
  </si>
  <si>
    <t>idxsummary_dbi_YYYYMMDD.csv
SCD_SVC_PRICE_YYMMDD.TXT</t>
  </si>
  <si>
    <t>HOOPP_ICE_FileLoad</t>
  </si>
  <si>
    <t>ICC_hoopp_FinalEODSettlements_20240820.csv
ICC_CDSIndexClearingEligibleInstruments_20240820.csv
ICC_CDSSingleNameClearingEligibleInstruments_20240820.csv
ICC_hoopp_PositionMTMMarginDetail_20240820.csv</t>
  </si>
  <si>
    <t>ICE_LCH_HOLIDAY</t>
  </si>
  <si>
    <t xml:space="preserve">	
Vendor Technical Contact:
Ice:
1-770-999-4501, +44-203-948-6501, +65-6817-6211
ICE Helpdesk (General)
Email: sd-suppport@theice.com
Phone: Option 5, sub-option 1
For index/constituents file:
https://indices.theice.com/ 
ICE Data Derivatives Support Email: IDDSupport@ice.com 
Escalation Support Teams:
ClientSupport-ICEDataDerivatives-DataAndValuations@theice.com 
ClientSupport-ICEDataDerivatives-Solutions@theice.com 
CS Teams Manager:  Shira Levy, Manager ICE Data Derivatives Support - Shira.Levy@ice.com
For prices file:
icelinksupport@theice.com 
icelinkhelp@theice.com
Super D: 
8:30am - 10pm EST
IDDSupport@ice.com 
+1 770 999 4501 Option 5
After 10pm (10pm to 8:30am) EMEA/APAC support teams step in until 8:30am EST
EMEA/APAC is in the attached document.
CS_Escalation_Matrix_By_Region_201902_(003).docx
Vendor Business Contact: 
Owen Magee (Sales Rep)
Email: Owen.Magee@ice.com
Thomas Cangelosi (Relationship Manager/Account Rep)
Email: Tom.Cangelosi@ice.com</t>
  </si>
  <si>
    <t>ICE Price Publishing (Gold + Silver)
- Price Derivation
- Price Valication
- Price Denorm
- Price Publishing</t>
  </si>
  <si>
    <t>Silver for CC_CDS, CC_CDX_CDS and ICE_SOI
Gold prices for CC_CDS</t>
  </si>
  <si>
    <t>HOOPP_PricePublishing_MarkitSOI_CC_CDX_CDS_ICE</t>
  </si>
  <si>
    <t>ICC_hoopp_FinalEODSettlements_YYYYMMDD.csv</t>
  </si>
  <si>
    <t>HOOPP_LCH_FileLoad</t>
  </si>
  <si>
    <t>LCH</t>
  </si>
  <si>
    <t>P-PSWC-HOOPPXXX_FDM-20240904-015042_20240904_REP000F1e - Trade Level Pricing_ 1.TXT</t>
  </si>
  <si>
    <t>Vendor Technical Contact:
ratesclientservices@lch.com
SwapClear.ClientOnboarding@lch.com
Vendor Business Contact:  
Christopher.Licini@lch.com</t>
  </si>
  <si>
    <t>LCH Price Publishing (Gold + Silver)
- Price Derivation
- Price Valication
- Price Denorm
- Price Publishing</t>
  </si>
  <si>
    <t>LCH_SOI</t>
  </si>
  <si>
    <t>P-PSWC-HOOPPXXX_FDM-YYYYMMDD-??????_YYYYMMDD_REP000F1e%20-%20Trade%20Level%20Pricing_%201.TXT</t>
  </si>
  <si>
    <r>
      <rPr>
        <sz val="10"/>
        <color rgb="FF000000"/>
        <rFont val="Calibri"/>
        <scheme val="minor"/>
      </rPr>
      <t>HOOPP_Markit_OTC_</t>
    </r>
    <r>
      <rPr>
        <sz val="9"/>
        <color rgb="FF3D464D"/>
        <rFont val="Calibri"/>
        <scheme val="minor"/>
      </rPr>
      <t>Request_Fileload</t>
    </r>
  </si>
  <si>
    <t>Markit OTC Request File</t>
  </si>
  <si>
    <t>TrancheCDSMarkITRequest_03042025.xml
CDSOptionsMarkITRequest_03042025.xml
CDSIndexMarkITRequest_03042025.xml
ABXCreditIndexMarkITRequest_03042025.xml</t>
  </si>
  <si>
    <t>HOOPP_NT_FileLoad</t>
  </si>
  <si>
    <t>Northern Trust</t>
  </si>
  <si>
    <t>SECURITY_MASTER_CSM_20241126_202738.CSV
DAILY_TRANSACTIONS_SRD3363_CSM_20241126_202741.CSV</t>
  </si>
  <si>
    <t>Broker Files
GSL_Production@ntrs.com  GSL_Support_Mailbox@ntrs.com  
Transmissions@ntrs.com</t>
  </si>
  <si>
    <t>NT Silver Prices
- Price Denorm
- Price Publishing</t>
  </si>
  <si>
    <t xml:space="preserve">NTFX_SOI </t>
  </si>
  <si>
    <r>
      <rPr>
        <strike/>
        <sz val="10"/>
        <color rgb="FF000000"/>
        <rFont val="Calibri"/>
        <family val="2"/>
        <scheme val="minor"/>
      </rPr>
      <t xml:space="preserve">SECURITY_MASTER_CSM_YYYYMMDD_??????.CSV
</t>
    </r>
    <r>
      <rPr>
        <sz val="10"/>
        <color rgb="FF000000"/>
        <rFont val="Calibri"/>
        <family val="2"/>
        <scheme val="minor"/>
      </rPr>
      <t>DAILY_TRANSACTIONS_SRD3363_CSM_YYYYMMDD_??????.CSV</t>
    </r>
  </si>
  <si>
    <t>HOOPP_NT_POSandCol_FileLoad</t>
  </si>
  <si>
    <t>DAILY_POSITIONS_CSM
MONTHLY_POSITION_CSM
DAILY_TRANSACTIONS_CSM</t>
  </si>
  <si>
    <t>index_services@spglobal.com</t>
  </si>
  <si>
    <t>HOOPP_NT_GSL_Schedule</t>
  </si>
  <si>
    <t>Nothern Trust</t>
  </si>
  <si>
    <t>DAILY_COLLATERIAL_SRD2904_CSM
FMH2956S_GSL_LENDING_REPORT_YYYYYMMDD.TXT</t>
  </si>
  <si>
    <t>Transmissions@ntrs.com
GSL_Support_Mailbox@ntrs.com
GSL_Production@ntrs.com</t>
  </si>
  <si>
    <t>HOOPP_CoppClark_FileLoad</t>
  </si>
  <si>
    <t>CoppClark</t>
  </si>
  <si>
    <t>CenterList_20250103.csv
CurrencyPaymentWeekends_20250103.csv
CurrencyPaymentHolidays_20250103.csv
CurrencyPaymentCenters_20250103.csv
ExchangeSettlementHolidays_20250103.csv
ExchangeSettlementCenters_20250103.csv
CurrencyTradingWorkingWKDs_20250103.csv
CurrencyTradingWeekends_20250103.csv
CurrencyTradingHolidays_20250103.csv
CurrencyTradingCenters_20250103.csv
CurrencyPaymentWorkingWKDs_20250103.csv
ExchangeTradingHolidays_20250103.csv
ExchangeTradingCenters_20250103.csv
ExchangeSettlementWorkingWKDs_20250103.csv
ExchangeSettlementWeekends_20250103.csv
FinancialCenters_20250103.csv
ExchangeTradingWorkingWKDs_20250103.csv
ExchangeTradingWeekends_20250103.csv
WorkingWeekends_20250103.csv</t>
  </si>
  <si>
    <t>For any escalation or urgent request: referencedataclientservice@spglobal.com</t>
  </si>
  <si>
    <t>HOOPP_MOTC_DAILY_SG_CRED_FileLoad / HOOPP_MOTC_DAILY_SG_CRED_FileLoad_Sunday</t>
  </si>
  <si>
    <t>HOOPP_SG_DAILY_CRED.01Nov24.csv</t>
  </si>
  <si>
    <t>Daily(Sun-Thu)</t>
  </si>
  <si>
    <t>MARKIT_HOLIDAY</t>
  </si>
  <si>
    <t>HOOPP_MOTC_DAILY_SG_CRED_FileLoad</t>
  </si>
  <si>
    <t>SFTP issues: data.delivery@ihsmarkit.com </t>
  </si>
  <si>
    <t>HOOPP_PricePublishing_OTC_DAILY_CRED</t>
  </si>
  <si>
    <t>Markit OTC Price Publishing (Silver)
- Price Denorm
- Price Publishing</t>
  </si>
  <si>
    <t>HOOPP_SG_DAILY_CRED (silver prices only)</t>
  </si>
  <si>
    <t>HOOPP_SG_DAILY_CRED.DDMonYY.csv</t>
  </si>
  <si>
    <t>T+2</t>
  </si>
  <si>
    <t>HOOPP_SCD_11PM_FileLoad</t>
  </si>
  <si>
    <t>SCD_SMF_280824230117.csv</t>
  </si>
  <si>
    <t>HOOP_SOI</t>
  </si>
  <si>
    <t>SCD_SMF_DDMMYY??????.csv</t>
  </si>
  <si>
    <r>
      <rPr>
        <strike/>
        <sz val="10"/>
        <color rgb="FF000000"/>
        <rFont val="Calibri"/>
        <scheme val="minor"/>
      </rPr>
      <t xml:space="preserve">HOOPP_SnP_FileLoad
</t>
    </r>
    <r>
      <rPr>
        <sz val="10"/>
        <color rgb="FF000000"/>
        <rFont val="Calibri"/>
        <scheme val="minor"/>
      </rPr>
      <t>RATINGS_DELTA</t>
    </r>
  </si>
  <si>
    <t>S&amp;P Ratings (Issue &amp; issuer) - Delta</t>
  </si>
  <si>
    <t>spInstrumentToEntity20240828185719-001.security
spAssessmentData20240828185719-001.security
spSecurityLevelData20240828185719-001.security
spRatingData20240828185719-001.security</t>
  </si>
  <si>
    <t>Rating load - backoffice file, not dependent on SOI</t>
  </si>
  <si>
    <t>RATINGS_DELTA</t>
  </si>
  <si>
    <t>What is the schedule for spInstrumentToEntity20240904185714-001.entity? We see loads at 1130pm and 8am for 1 hour. Can you please keep schedule to non business hours - 11pm on T works.</t>
  </si>
  <si>
    <t>spInstrumentToEntityYYYYMMDD??????-001.entity</t>
  </si>
  <si>
    <t>HOOPP_BF_TD_FileLoad</t>
  </si>
  <si>
    <t>Broker Files</t>
  </si>
  <si>
    <t>TD</t>
  </si>
  <si>
    <t>tdsi_hoopp_loan_fees_03 Account_07-08-2024.csv
TD position file_07-08-2024.csv</t>
  </si>
  <si>
    <t>Kamal.Sehgal@ihsmarkit.com</t>
  </si>
  <si>
    <t>HOOPP_BF_CIBC_FileLoad</t>
  </si>
  <si>
    <t>CIBC</t>
  </si>
  <si>
    <t>cibc_hoopp_fee_20240709.csv
cibc_hoopp_fee_20240709.csv</t>
  </si>
  <si>
    <t>Daily(Tue-Fri)</t>
  </si>
  <si>
    <t>Vrinda.Pal@ihsmarkit.com</t>
  </si>
  <si>
    <t>Weekly(Sat)</t>
  </si>
  <si>
    <t>HOOPP_BF_CIBCWM_FileLoad</t>
  </si>
  <si>
    <t>CIBCWM</t>
  </si>
  <si>
    <t>HOOPP Collateral_20240806.txt
HOOPP Loans_20250212.txt</t>
  </si>
  <si>
    <t>Sachin.Singhal@ihsmarkit.com</t>
  </si>
  <si>
    <t>HOOPP_BF_RBCDS_FileLoad</t>
  </si>
  <si>
    <t>RBC</t>
  </si>
  <si>
    <t>RBCDS_FEE_HOOPP_20240710.csv
RBCDS_POS_HOOPP_20240710.txt</t>
  </si>
  <si>
    <t>Rajesh.Kumar2@ihsmarkit.com</t>
  </si>
  <si>
    <t>HOOPP_BF_RTD_FileLoad</t>
  </si>
  <si>
    <t>RBC Dexia</t>
  </si>
  <si>
    <t>RBCIS_POS_HOOP_20241002.TXT</t>
  </si>
  <si>
    <t>RBC Investor &amp; Treasury Services (RBC IS)
slcs@rbc.com
birju.sheth@rbc.com (New workflow)
arif.saiyed@rbc.com (New workflow)</t>
  </si>
  <si>
    <t>HOOPP_BF_GS_FileLoad</t>
  </si>
  <si>
    <t>Goldman Sachs</t>
  </si>
  <si>
    <t>HOOPP Recon 2024-07-08.csv</t>
  </si>
  <si>
    <t>spencer.wiseman@ihsmarkit.com</t>
  </si>
  <si>
    <t>HOOPP_BF_BMO_FileLoad</t>
  </si>
  <si>
    <t>BMO</t>
  </si>
  <si>
    <t>bmo_hoopp_pos_20240705.csv</t>
  </si>
  <si>
    <t>Abhinit.Kumar@ihsmarkit.com</t>
  </si>
  <si>
    <t>HOOPP_BF_Natixis_FileLoad</t>
  </si>
  <si>
    <t>Natixis</t>
  </si>
  <si>
    <t>LoanetHooppReport_20240708.csv.gpg</t>
  </si>
  <si>
    <t xml:space="preserve">	
Vendor Technical Contact:
 DTTransversalITApplicationSupport@natixis.com  
 uscibusitapplicationdevtequities@natixis.com 
Vendor Business Contact: 
charles.luo@natixis.com  
USCIBSecuritieslending@natixis.com 
OpsStockLoan@natixis.com  
carol.amandola-ext@natixis.com</t>
  </si>
  <si>
    <t>HOOPP_BF_SCM_FileLoad</t>
  </si>
  <si>
    <t xml:space="preserve">Scotia </t>
  </si>
  <si>
    <t>HOOPPS.SCM_FEE_HOOPP_20240708.TXT
HOOPPS.SCM_POS_HOOPP_20240708.TXT</t>
  </si>
  <si>
    <t>StockLoan.SupportRim@scotiabank.com 
stockloan.ba@scotiabank.com 
getgo.support@scotiabank.com</t>
  </si>
  <si>
    <t>HOOPP_BF_NT_FileLoad</t>
  </si>
  <si>
    <t>FMH3676S_DAILY_GSL_POSITION_FILE_20240708.csv</t>
  </si>
  <si>
    <t>support@spglobal.com</t>
  </si>
  <si>
    <t>HOOPP_BF_NATLBK_FileLoad</t>
  </si>
  <si>
    <t>National Bank</t>
  </si>
  <si>
    <t>HOOPP_DAILY_20241126.csv</t>
  </si>
  <si>
    <t>Vendor Technical Contact: 
SBLSettlement@bnc.ca 
sble4e@nbc.ca
sec_lending_it_support@nbf.ca
kaki.chan@bnc.ca</t>
  </si>
  <si>
    <t>AM</t>
  </si>
  <si>
    <t>HOOPP_BB_S3DecryptUpload</t>
  </si>
  <si>
    <t>Maintenance</t>
  </si>
  <si>
    <t>HOOPP_EVT_BB_DecryptUpload</t>
  </si>
  <si>
    <t>BB_S3DecryptUpload.json</t>
  </si>
  <si>
    <t>This job uploads the raw file to S3 bucket</t>
  </si>
  <si>
    <t>HOOPP_PVC_FX_FileLoad_Job</t>
  </si>
  <si>
    <t>HOOPP_EVT_PriceValidationConsolidated_TDate</t>
  </si>
  <si>
    <t>PriceValidationConsolidated_FX_SOI.json</t>
  </si>
  <si>
    <t>HOOPP_PriceDenomSilver_FileLoad_Job</t>
  </si>
  <si>
    <t>Pricing (Denormalization Silver)</t>
  </si>
  <si>
    <t>HOOPP_EVT_PriceDenormalisation_TDate</t>
  </si>
  <si>
    <t>PriceDenormSilverFX.json</t>
  </si>
  <si>
    <t>HOOPP_PriceDenomGold_FileLoad_Job</t>
  </si>
  <si>
    <t>Pricing (Denormalization Golden)</t>
  </si>
  <si>
    <t>PriceDenormGoldFX.json</t>
  </si>
  <si>
    <r>
      <rPr>
        <b/>
        <strike/>
        <sz val="10"/>
        <color rgb="FF000000"/>
        <rFont val="Calibri"/>
        <scheme val="minor"/>
      </rPr>
      <t xml:space="preserve">HOOPP_CloudPubMDS_PriceSilver_FL - Vendor ID = BB
</t>
    </r>
    <r>
      <rPr>
        <b/>
        <sz val="10"/>
        <color rgb="FF000000"/>
        <rFont val="Calibri"/>
        <scheme val="minor"/>
      </rPr>
      <t>HOOPP_CloudPubMDS_FXPriceSilver_BB</t>
    </r>
  </si>
  <si>
    <t>Publishing</t>
  </si>
  <si>
    <t>HOOPP_EVT_CloudPublishingMDS_TDate_Wrapper</t>
  </si>
  <si>
    <t>CloudMDSFXPriceSilver.json</t>
  </si>
  <si>
    <r>
      <rPr>
        <b/>
        <strike/>
        <sz val="10"/>
        <color theme="1"/>
        <rFont val="Calibri"/>
        <family val="2"/>
        <scheme val="minor"/>
      </rPr>
      <t>HOOPP_CloudPubMDS_PriceGold_FL</t>
    </r>
    <r>
      <rPr>
        <b/>
        <sz val="10"/>
        <color theme="1"/>
        <rFont val="Calibri"/>
        <family val="2"/>
        <scheme val="minor"/>
      </rPr>
      <t xml:space="preserve">
HOOPP_CloudPubMDS_FXPriceGold_BB</t>
    </r>
  </si>
  <si>
    <t>CloudMDSFXPriceGold.json</t>
  </si>
  <si>
    <t>HOOPP_CloudPubMDS_FXWMSOISilver_BB</t>
  </si>
  <si>
    <t>HOOPP_PVC_Bond_FileLoad_Job</t>
  </si>
  <si>
    <t>PriceValidationConsolidated_FI.json</t>
  </si>
  <si>
    <t>HOOPP_PriceDenomBondSilver_Job</t>
  </si>
  <si>
    <t>PriceDenormSilver_Bonds.json</t>
  </si>
  <si>
    <t>HOOPP_PriceDenomBondGold_Job</t>
  </si>
  <si>
    <t>PriceDenormGold_Bonds.json</t>
  </si>
  <si>
    <r>
      <t xml:space="preserve">HOOPP_CloudPubMDS_BondPriceSilver  - Vendor ID = SVC
</t>
    </r>
    <r>
      <rPr>
        <b/>
        <sz val="10"/>
        <color theme="1"/>
        <rFont val="Calibri"/>
        <family val="2"/>
        <scheme val="minor"/>
      </rPr>
      <t>HOOPP_CloudPubMDS_BondPriceSilver_SVC</t>
    </r>
  </si>
  <si>
    <t>CloudMDSBondPriceSilver.json</t>
  </si>
  <si>
    <t>HOOPP_CloudPubMDS_BondPriceGold</t>
  </si>
  <si>
    <t>CloudMDSBondPriceGold.json</t>
  </si>
  <si>
    <r>
      <rPr>
        <b/>
        <strike/>
        <sz val="10"/>
        <color theme="1"/>
        <rFont val="Calibri"/>
        <family val="2"/>
        <scheme val="minor"/>
      </rPr>
      <t>HOOPP_CloudPubMDS_FTSEPriceSilver - Vendor ID = FTSEIDX</t>
    </r>
    <r>
      <rPr>
        <b/>
        <sz val="10"/>
        <color theme="1"/>
        <rFont val="Calibri"/>
        <family val="2"/>
        <scheme val="minor"/>
      </rPr>
      <t xml:space="preserve">
HOOPP_CloudPubMDS_FTSEPriceSilver_FTSEIDX</t>
    </r>
  </si>
  <si>
    <t>CloudMDSFTSEPriceSilver.json</t>
  </si>
  <si>
    <t>HOOPP_CloudPubMDS_KeyFigures
HOOPP_CloudPubMDS_KeyFigures_SVC</t>
  </si>
  <si>
    <t>CloudMDS_KF.json</t>
  </si>
  <si>
    <t>HOOPP_PriceDerivation_FileLoad_Job</t>
  </si>
  <si>
    <t>Pricing (Derivation)</t>
  </si>
  <si>
    <t>HOOPP_EVT_PriceDerivation_Wrapper</t>
  </si>
  <si>
    <t>PriceDerivation.json</t>
  </si>
  <si>
    <t>HOOPP_PVC_EQ_FileLoad_Job</t>
  </si>
  <si>
    <t>HOOPP_EVT_PriceValidationConsolidated</t>
  </si>
  <si>
    <t>PriceValidationConsolidated_Equities.json</t>
  </si>
  <si>
    <t>HOOPP_PriceDenomEQSilver_Job</t>
  </si>
  <si>
    <t>HOOPP_EVT_PriceDenormalisation</t>
  </si>
  <si>
    <t>PriceDenormSilver_EQ.json</t>
  </si>
  <si>
    <t>HOOPP_PriceDenomEQGold_Job</t>
  </si>
  <si>
    <t>PriceDenormGold_EQ.json</t>
  </si>
  <si>
    <r>
      <rPr>
        <b/>
        <strike/>
        <sz val="10"/>
        <color theme="1"/>
        <rFont val="Calibri"/>
        <family val="2"/>
        <scheme val="minor"/>
      </rPr>
      <t>HOOPP_CloudPubMDS_EquityPriceSilver</t>
    </r>
    <r>
      <rPr>
        <b/>
        <sz val="10"/>
        <color theme="1"/>
        <rFont val="Calibri"/>
        <family val="2"/>
        <scheme val="minor"/>
      </rPr>
      <t xml:space="preserve">
HOOPP_CloudPubMDS_GENTSOIPriceSilver_BB</t>
    </r>
  </si>
  <si>
    <t>HOOPP_EVT_CloudPublishingMDS_Wrapper</t>
  </si>
  <si>
    <t>CloudMDSEquityPriceSilver.json</t>
  </si>
  <si>
    <t>HOOPP_CloudPubMDS_EquityPriceGold</t>
  </si>
  <si>
    <t>CloudMDSEquityPriceGold.json</t>
  </si>
  <si>
    <r>
      <rPr>
        <b/>
        <strike/>
        <sz val="10"/>
        <color theme="1"/>
        <rFont val="Calibri"/>
        <family val="2"/>
        <scheme val="minor"/>
      </rPr>
      <t>HOOPP_CloudPubMDS_HSOIPriceSilver - Vendor ID = BB</t>
    </r>
    <r>
      <rPr>
        <b/>
        <sz val="10"/>
        <color theme="1"/>
        <rFont val="Calibri"/>
        <family val="2"/>
        <scheme val="minor"/>
      </rPr>
      <t xml:space="preserve">
HOOPP_CloudPubMDS_HSOIPriceSilver_BB</t>
    </r>
  </si>
  <si>
    <t>CloudMDSHOOPPSOIPriceSilver.json</t>
  </si>
  <si>
    <r>
      <rPr>
        <b/>
        <strike/>
        <sz val="10"/>
        <color rgb="FF000000"/>
        <rFont val="Calibri"/>
        <scheme val="minor"/>
      </rPr>
      <t xml:space="preserve">HOOPP_CloudPubMDS_GenTickersPriceSilver - Vendor ID = BB
</t>
    </r>
    <r>
      <rPr>
        <b/>
        <sz val="10"/>
        <color rgb="FF000000"/>
        <rFont val="Calibri"/>
        <scheme val="minor"/>
      </rPr>
      <t>HOOPP_CloudPubMDS_GENTSOIPriceSilver_BB</t>
    </r>
  </si>
  <si>
    <t>CloudMDSGenTIckersAnalyticsSilver.json</t>
  </si>
  <si>
    <r>
      <rPr>
        <b/>
        <strike/>
        <sz val="10"/>
        <color rgb="FF000000"/>
        <rFont val="Calibri"/>
      </rPr>
      <t xml:space="preserve">HOOPP_CloudPubMDS_FTSEAnalyticsSilver - Vendor ID = BB
</t>
    </r>
    <r>
      <rPr>
        <b/>
        <sz val="10"/>
        <color rgb="FF000000"/>
        <rFont val="Calibri"/>
      </rPr>
      <t>HOOPP_CloudPubMDS_FTSEPriceSilver_BB</t>
    </r>
  </si>
  <si>
    <t>CloudMDSFTSEAnalyticsSilver.json</t>
  </si>
  <si>
    <t>HOOPP_CloudPubMDS_HSOIPriceSilver_SVC</t>
  </si>
  <si>
    <t>HOOPP_CloudPubMDS_KeyFigures_HSOI</t>
  </si>
  <si>
    <t>HOOPP_PriceDenomMarkitSilver_Job</t>
  </si>
  <si>
    <t>PriceDenormMarkit.json</t>
  </si>
  <si>
    <t>HOOPP_CloudPubMDS_MarkitPriceSilver</t>
  </si>
  <si>
    <t>CloudMDS_Markit.json</t>
  </si>
  <si>
    <t>PriceDerivation_CID_CDXCDS.json</t>
  </si>
  <si>
    <t>HOOPP_PriceDerivation_FileLoad_Job_copy_2</t>
  </si>
  <si>
    <t>PriceDerivation_CID_CDXTRNCH.json</t>
  </si>
  <si>
    <t>HOOPP_PVC_MarkitOTC_FileLoad_Job</t>
  </si>
  <si>
    <t>PVC_MarkitSOI_CDX_CDS.json</t>
  </si>
  <si>
    <t>HOOPP_PriceDenomMarkitOTCSilver</t>
  </si>
  <si>
    <t>PriceDenormSilver_MarkitSOI_CDX_CDS.json</t>
  </si>
  <si>
    <t>HOOPP_PriceDenomMarkitOTCGold</t>
  </si>
  <si>
    <t>PriceDenormGold_MarkitSOI_CDX_CDS.json</t>
  </si>
  <si>
    <r>
      <rPr>
        <b/>
        <strike/>
        <sz val="10"/>
        <color rgb="FF000000"/>
        <rFont val="Calibri"/>
        <scheme val="minor"/>
      </rPr>
      <t xml:space="preserve">HOOPP_CloudPubMDS_MarkitOTCSilver
</t>
    </r>
    <r>
      <rPr>
        <b/>
        <sz val="10"/>
        <color rgb="FF000000"/>
        <rFont val="Calibri"/>
        <scheme val="minor"/>
      </rPr>
      <t>HOOPP_CloudPubMDS_CDXCDSSOISilver_IDX</t>
    </r>
  </si>
  <si>
    <t>CloudMDSMarkitSOI_CDX_CDSSilver.json</t>
  </si>
  <si>
    <t>HOOPP_CloudPubMDS_MarkitOTCGold
HOOPP_CloudPubMDS_CDXCDSSOIGold</t>
  </si>
  <si>
    <t>CloudMDSMarkitSOI_CDX_CDSGold.json</t>
  </si>
  <si>
    <r>
      <rPr>
        <b/>
        <strike/>
        <sz val="10"/>
        <color rgb="FF000000"/>
        <rFont val="Calibri"/>
        <scheme val="minor"/>
      </rPr>
      <t xml:space="preserve">HOOPP_CloudPubMDS_MarkitOTCSilver_copy_1
</t>
    </r>
    <r>
      <rPr>
        <b/>
        <sz val="10"/>
        <color rgb="FF000000"/>
        <rFont val="Calibri"/>
        <scheme val="minor"/>
      </rPr>
      <t>HOOPP_CloudPubMDS_CCCDXCDSSOISilver_IDX</t>
    </r>
  </si>
  <si>
    <t>CloudMDS_MarkitSOI_CC_CDX_CDSSilver.json</t>
  </si>
  <si>
    <r>
      <rPr>
        <b/>
        <strike/>
        <sz val="10"/>
        <color theme="1"/>
        <rFont val="Calibri"/>
        <family val="2"/>
        <scheme val="minor"/>
      </rPr>
      <t>HOOPP_CloudPubMDS_MarkitOTCGold_copy_1</t>
    </r>
    <r>
      <rPr>
        <b/>
        <sz val="10"/>
        <color theme="1"/>
        <rFont val="Calibri"/>
        <family val="2"/>
        <scheme val="minor"/>
      </rPr>
      <t xml:space="preserve">
HOOPP_CloudPubMDS_CCCDXCDSSOIGold</t>
    </r>
  </si>
  <si>
    <t>CloudMDS_MarkitSOI_CC_CDX_CDSGold.json</t>
  </si>
  <si>
    <t>HOOPP_BespokeEndDate_job</t>
  </si>
  <si>
    <t>HOOPP_PVC_OTC_FileLoad_Job</t>
  </si>
  <si>
    <t>HOOPP_PriceDenomOTCSilver</t>
  </si>
  <si>
    <t>HOOPP_PriceDenomOTCGold_Job</t>
  </si>
  <si>
    <t>HOOPP_CloudPubMDS_CDXTRNCHSOISilver</t>
  </si>
  <si>
    <t>HOOPP_CloudPubMDS_CDXTRNCHSOIGold</t>
  </si>
  <si>
    <t>HOOPP_CloudPubMDS_BESPOKESOIGold</t>
  </si>
  <si>
    <t>HOOPP_CloudPubMDS_CDXOPTSOIGold</t>
  </si>
  <si>
    <t>HOOPP_CloudPubMDS_ABXSOISilver</t>
  </si>
  <si>
    <t>HOOPP_CloudPubMDS_ABXSOIGold</t>
  </si>
  <si>
    <t>HOOPP_CloudPubMDS_CDXOPTSOISilver</t>
  </si>
  <si>
    <t>HOOPP_CloudPubMDS_CCCDXCDSSOISilver_OTC</t>
  </si>
  <si>
    <t>HOOPP_CloudPubMDS_CDXCDSSOISilver_OTC</t>
  </si>
  <si>
    <t>HOOPP_PriceDenomWMSilver</t>
  </si>
  <si>
    <t>HOOPP_EVT_PriceDenormalisation_Tdate</t>
  </si>
  <si>
    <r>
      <rPr>
        <b/>
        <strike/>
        <sz val="10"/>
        <color rgb="FF000000"/>
        <rFont val="Calibri"/>
      </rPr>
      <t xml:space="preserve">HOOPP_CloudPubMDS_WMSilver - VendorID = WM
</t>
    </r>
    <r>
      <rPr>
        <b/>
        <sz val="10"/>
        <color rgb="FF000000"/>
        <rFont val="Calibri"/>
      </rPr>
      <t>HOOPP_CloudPubMDS_FXWMSOISilver_WM</t>
    </r>
  </si>
  <si>
    <t>HOOPP_PricePublishing_ICE_CC_CDS</t>
  </si>
  <si>
    <r>
      <rPr>
        <b/>
        <strike/>
        <sz val="10"/>
        <color rgb="FF000000"/>
        <rFont val="Calibri"/>
      </rPr>
      <t xml:space="preserve">HOOPP_CloudPubMDS_OTCSilver
</t>
    </r>
    <r>
      <rPr>
        <b/>
        <sz val="10"/>
        <color rgb="FF000000"/>
        <rFont val="Calibri"/>
      </rPr>
      <t>HOOPP_CloudPubMDS_CCCDSSOISilver_ICE</t>
    </r>
  </si>
  <si>
    <r>
      <rPr>
        <b/>
        <strike/>
        <sz val="10"/>
        <color rgb="FF000000"/>
        <rFont val="Calibri"/>
      </rPr>
      <t xml:space="preserve">HOOPP_CloudPubMDS_ICESilver
</t>
    </r>
    <r>
      <rPr>
        <b/>
        <sz val="10"/>
        <color rgb="FF000000"/>
        <rFont val="Calibri"/>
      </rPr>
      <t>HOOPP_CloudPubMDS_ICESOISilver</t>
    </r>
  </si>
  <si>
    <r>
      <rPr>
        <b/>
        <strike/>
        <sz val="10"/>
        <color rgb="FF000000"/>
        <rFont val="Calibri"/>
      </rPr>
      <t xml:space="preserve">HOOPP_CloudPubMDS_OTCGold
</t>
    </r>
    <r>
      <rPr>
        <b/>
        <sz val="10"/>
        <color rgb="FF000000"/>
        <rFont val="Calibri"/>
      </rPr>
      <t>HOOPP_CloudPubMDS_CCCDSSOIGold_ICE</t>
    </r>
  </si>
  <si>
    <t>Daily(Sun-Fri)</t>
  </si>
  <si>
    <t>HOOPP_CloudPubMDS_CRED_CDXTRNCHSOISilver</t>
  </si>
  <si>
    <t>HOOPP_PVC_LCH_FileLoad_Job</t>
  </si>
  <si>
    <t>HOOPP_PriceDenomLCHSilver</t>
  </si>
  <si>
    <t>HOOPP_PriceDenomLCHGold_Job</t>
  </si>
  <si>
    <t>HOOPP_CloudPubMDS_LCHSilver</t>
  </si>
  <si>
    <t>HOOPP_CloudPubMDS_LCHGold</t>
  </si>
  <si>
    <t>HOOPP_PriceDenomNTSilver</t>
  </si>
  <si>
    <t>HOOPP_CloudPubMDS_NTSilver - VendorID = NT
HOOPP_CloudPubMDS_NTFXSOISilver_NT</t>
  </si>
  <si>
    <t>HOOPP_CloudPubMDS_CCCDXCDSSOISilver_ICE</t>
  </si>
  <si>
    <t>HOOPP_CloudPubMDS_CDXCDSSOISilver_ICE</t>
  </si>
  <si>
    <t>HOOPP_CloudPubMDS_CDXCDSSOISilver_Recon</t>
  </si>
  <si>
    <t>HOOPP_CloudPubMDS_CCCDXCDSSOISilver_Recon</t>
  </si>
  <si>
    <t>HOOPP_CloudPubMDS_FXWMSOISilver_Recon</t>
  </si>
  <si>
    <t>General Comments</t>
  </si>
  <si>
    <t>Updates for R3 Release</t>
  </si>
  <si>
    <t>Breakdown of BBG Requests/Response per asset class/others</t>
  </si>
  <si>
    <t>Order based on column K - 24 hour clock</t>
  </si>
  <si>
    <t>SVC Requestor - add, required for dependencies</t>
  </si>
  <si>
    <t>Markit OTC Requestor - add, required for dependencies</t>
  </si>
  <si>
    <t xml:space="preserve">Alert Send to </t>
  </si>
  <si>
    <t>SF Cloud Publishing for Ref data triggerred post every file load.
Every 2 hours between 9:00 AM and 5:00 PM EST</t>
  </si>
  <si>
    <t>Please reach out DXC Overnight Tier 1 &lt;dxcovernighttier1@hoopp.com&gt;; Golden Source Operations &lt;goldensourceoperations@hoopp.com&gt;; ISG-DTS-Operations &lt;isg-dts-operations@hoopp.com&gt; if there any issues with the above mentioned vendor contacts</t>
  </si>
  <si>
    <t>TimeLine</t>
  </si>
  <si>
    <t>Data for?</t>
  </si>
  <si>
    <t>Key Figures Loaded?</t>
  </si>
  <si>
    <t>Vendor</t>
  </si>
  <si>
    <t>File Load?</t>
  </si>
  <si>
    <t>Price Load</t>
  </si>
  <si>
    <t>Price Validation?</t>
  </si>
  <si>
    <t>Price Denormalization?</t>
  </si>
  <si>
    <t>Publishing?</t>
  </si>
  <si>
    <t>Request SOI</t>
  </si>
  <si>
    <t>Denorm SOI</t>
  </si>
  <si>
    <t>Validation SOI</t>
  </si>
  <si>
    <t>Creation of SOI</t>
  </si>
  <si>
    <t>HOOPP Comment</t>
  </si>
  <si>
    <t>FX</t>
  </si>
  <si>
    <t>FX_SOI</t>
  </si>
  <si>
    <t>FX_SOI: Manual One Time</t>
  </si>
  <si>
    <t>FTSE_SOI</t>
  </si>
  <si>
    <t>T-1</t>
  </si>
  <si>
    <t>SCD</t>
  </si>
  <si>
    <t>OTCSOI</t>
  </si>
  <si>
    <t>All Bonds from HOOPP SOI</t>
  </si>
  <si>
    <t>SVC/FTSE</t>
  </si>
  <si>
    <t>FTSE_SOI, EOD_BONDS</t>
  </si>
  <si>
    <t>EOD_BONDS</t>
  </si>
  <si>
    <t>HOOPP SOI(Superset), EOD_BONDS(Some Bonds from HOOP SOI),
EOD_EQ(Some Equities from Hoop SOI)</t>
  </si>
  <si>
    <t>BB</t>
  </si>
  <si>
    <t>yes</t>
  </si>
  <si>
    <t>HOOPP SOI,REFRATE_SOI,FTSE_SOI,GENERIC_TICKERS_SOI</t>
  </si>
  <si>
    <t xml:space="preserve">EOD_EQ </t>
  </si>
  <si>
    <t>Markit OTC (Cred)</t>
  </si>
  <si>
    <t>MarkitSOI_CDX_TRANCHE</t>
  </si>
  <si>
    <t>Depends on 38</t>
  </si>
  <si>
    <t>MarkitSOI_CC_CDS</t>
  </si>
  <si>
    <t>Depends on 36</t>
  </si>
  <si>
    <t>ICE_SOI</t>
  </si>
  <si>
    <r>
      <rPr>
        <sz val="11"/>
        <rFont val="Calibri"/>
        <family val="2"/>
        <scheme val="minor"/>
      </rPr>
      <t>Depends on 36</t>
    </r>
    <r>
      <rPr>
        <sz val="11"/>
        <color rgb="FFFF0000"/>
        <rFont val="Calibri"/>
        <family val="2"/>
        <scheme val="minor"/>
      </rPr>
      <t xml:space="preserve">
Key Figures &amp; Pricing published for all ICE securities?</t>
    </r>
  </si>
  <si>
    <t>Markit OTC</t>
  </si>
  <si>
    <t>MarkitSOI_CDX_CDS</t>
  </si>
  <si>
    <t>Not needed - no files impacting CDX_CDS loaded at this time</t>
  </si>
  <si>
    <t>Markit OTC (SG_DAILY)</t>
  </si>
  <si>
    <t>Depends on 35.1</t>
  </si>
  <si>
    <t>Updated Time Triggered Until and Business SLO on main tab</t>
  </si>
  <si>
    <t>Markit OTC (SG_DAILY_2)</t>
  </si>
  <si>
    <t>MarkitSOI_ABX</t>
  </si>
  <si>
    <t>Depends on 35.2</t>
  </si>
  <si>
    <t>MarkitSOI_BESPOKE</t>
  </si>
  <si>
    <t>MarkitSOI_CDX_OPT</t>
  </si>
  <si>
    <t>MarkitSOI_CC_CDX_CDS</t>
  </si>
  <si>
    <t>Markit (Credit Index Pricing)</t>
  </si>
  <si>
    <r>
      <rPr>
        <sz val="11"/>
        <rFont val="Calibri"/>
        <family val="2"/>
        <scheme val="minor"/>
      </rPr>
      <t xml:space="preserve">Depends on 10; </t>
    </r>
    <r>
      <rPr>
        <sz val="11"/>
        <color theme="5"/>
        <rFont val="Calibri"/>
        <family val="2"/>
        <scheme val="minor"/>
      </rPr>
      <t>mentioned as part of row 10.1 in the main ADITLO tab</t>
    </r>
    <r>
      <rPr>
        <sz val="11"/>
        <rFont val="Calibri"/>
        <family val="2"/>
        <scheme val="minor"/>
      </rPr>
      <t xml:space="preserve">
</t>
    </r>
    <r>
      <rPr>
        <sz val="11"/>
        <color rgb="FFFF0000"/>
        <rFont val="Calibri"/>
        <family val="2"/>
        <scheme val="minor"/>
      </rPr>
      <t>Key Figures &amp; Pricing published for all Markit Credit Index securities.</t>
    </r>
  </si>
  <si>
    <t>Markit CI/CDS</t>
  </si>
  <si>
    <t>Depends on 36 &amp; 10; however, if 10 is very late, can CC_CDX_CDS price validation run anyway at 3:30 am?</t>
  </si>
  <si>
    <t>Depends on 10</t>
  </si>
  <si>
    <t>Markit (Composite CDS)</t>
  </si>
  <si>
    <r>
      <rPr>
        <sz val="11"/>
        <color theme="5"/>
        <rFont val="Calibri"/>
        <family val="2"/>
        <scheme val="minor"/>
      </rPr>
      <t>Added as row 11.1 on ADITLO</t>
    </r>
    <r>
      <rPr>
        <sz val="11"/>
        <color rgb="FFFF0000"/>
        <rFont val="Calibri"/>
        <family val="2"/>
        <scheme val="minor"/>
      </rPr>
      <t xml:space="preserve">
Key Figures &amp; Pricing published for all Markit Spread securities.</t>
    </r>
  </si>
  <si>
    <t>World Markets</t>
  </si>
  <si>
    <t>FX_WM_SOI</t>
  </si>
  <si>
    <t>ADITLO</t>
  </si>
  <si>
    <t>A Day In The Life Of "Customer"</t>
  </si>
  <si>
    <r>
      <rPr>
        <b/>
        <i/>
        <sz val="11"/>
        <color theme="4"/>
        <rFont val="Calibri"/>
        <family val="2"/>
        <scheme val="minor"/>
      </rPr>
      <t xml:space="preserve">Note: 
</t>
    </r>
    <r>
      <rPr>
        <i/>
        <sz val="11"/>
        <color theme="4"/>
        <rFont val="Calibri"/>
        <family val="2"/>
        <scheme val="minor"/>
      </rPr>
      <t>1) NO business Jobs will run on Weekends.
2) Some ADHOC jobs are necessary for NPORT data reporting and need to be manually trigerred when the file arrives on the FTP. JNAM will inform via email about file upload.
3) JNAM always provides files to load on the FTP. They notify on emails.</t>
    </r>
  </si>
  <si>
    <t>SM</t>
  </si>
  <si>
    <t>Data Warehouse</t>
  </si>
  <si>
    <t>CST/CDT</t>
  </si>
  <si>
    <t>Central Standard Time/Central Daylight Time</t>
  </si>
  <si>
    <t>EST/EDT</t>
  </si>
  <si>
    <t>Eastern Standard Time/Eastern Daylight Time</t>
  </si>
  <si>
    <t>IST</t>
  </si>
  <si>
    <t>Indian Standard Time</t>
  </si>
  <si>
    <t>AS</t>
  </si>
  <si>
    <t>Application Server</t>
  </si>
  <si>
    <t>SLA</t>
  </si>
  <si>
    <t>Service Level Agreement</t>
  </si>
  <si>
    <t>SLO</t>
  </si>
  <si>
    <t>Service Level Objectives</t>
  </si>
  <si>
    <t>SLI</t>
  </si>
  <si>
    <t>Service Level Indicators</t>
  </si>
  <si>
    <t>Header of ADITLO worksheet - description</t>
  </si>
  <si>
    <t>Job #</t>
  </si>
  <si>
    <t>task number in the order of execution on a business day</t>
  </si>
  <si>
    <t>dependednt task number in the order of execution if Chains used</t>
  </si>
  <si>
    <t>name of the job chain in the job scheduler</t>
  </si>
  <si>
    <t>name used to identify the task in the Job Scheduler list of jobs for JNAM</t>
  </si>
  <si>
    <t>schema used to process or publish the inbound/outbound files respectively.</t>
  </si>
  <si>
    <t>type of task - file load, publishing, alerts or miscellaneous</t>
  </si>
  <si>
    <t>type of job - standalone or job chain in the job scheduler</t>
  </si>
  <si>
    <t>name of the inbound or outbound file(s)</t>
  </si>
  <si>
    <t>time of execution in CST or CDT</t>
  </si>
  <si>
    <t>time of execution in EST or EDT</t>
  </si>
  <si>
    <t>time of execution in IST</t>
  </si>
  <si>
    <t>frequency of job executions - daily, monthly etc</t>
  </si>
  <si>
    <t>if holiday calendar(worksheet#6) is followed for the task.</t>
  </si>
  <si>
    <t>Name of the event or shell script used</t>
  </si>
  <si>
    <t>exact path wher ethe file is uploaded for pre0processing,, or actual processing or published as an outbound.</t>
  </si>
  <si>
    <t>purpose of the job</t>
  </si>
  <si>
    <t>IF Job was discussed with JNAM as critical</t>
  </si>
  <si>
    <t>average time taken -  to finish each job</t>
  </si>
  <si>
    <t>Business SLO (IST)</t>
  </si>
  <si>
    <t>when AM team has to action at the alert, that’s the first response time and start working on recovery.</t>
  </si>
  <si>
    <t>Min Alert Threshold (mins)</t>
  </si>
  <si>
    <t>minimum time after which an alert will be generated for long running jobs</t>
  </si>
  <si>
    <t>max time after which an alert will be generated for long running jobs</t>
  </si>
  <si>
    <t>Type of Alerts configured - long running, missing file etc</t>
  </si>
  <si>
    <t>audience for the alert</t>
  </si>
  <si>
    <t>(US &amp; CAD Holidays)</t>
  </si>
  <si>
    <t>EventYear</t>
  </si>
  <si>
    <t>EventDate</t>
  </si>
  <si>
    <t>EventDayOfWeek</t>
  </si>
  <si>
    <t>EventName</t>
  </si>
  <si>
    <t>New Year's Day</t>
  </si>
  <si>
    <t>Family Day</t>
  </si>
  <si>
    <t>Martin Luther King Jr. Day</t>
  </si>
  <si>
    <t>Good Friday</t>
  </si>
  <si>
    <t>Presidents' Day</t>
  </si>
  <si>
    <t>Victoria/Patriots' Day</t>
  </si>
  <si>
    <t>Canada Day</t>
  </si>
  <si>
    <t>Memorial Day</t>
  </si>
  <si>
    <t>Civic Holiday</t>
  </si>
  <si>
    <t>Juneteenth National Independence Day</t>
  </si>
  <si>
    <t>Labour Day</t>
  </si>
  <si>
    <t>Independence Day</t>
  </si>
  <si>
    <t>Thanksgiving</t>
  </si>
  <si>
    <t>Labor Day</t>
  </si>
  <si>
    <t>Christmas</t>
  </si>
  <si>
    <t>Columbus Day</t>
  </si>
  <si>
    <t>SNP_QUARTERLY_CAL</t>
  </si>
  <si>
    <t>Boxing Day</t>
  </si>
  <si>
    <t>Veterans' Day</t>
  </si>
  <si>
    <t>CAD2BANKHOLIDAY</t>
  </si>
  <si>
    <t>National Truth and Reconciliation Day</t>
  </si>
  <si>
    <t>Remembrance Day</t>
  </si>
  <si>
    <t>Pipeline Name</t>
  </si>
  <si>
    <t>S3 Folder</t>
  </si>
  <si>
    <t>File Type</t>
  </si>
  <si>
    <t>Table Name</t>
  </si>
  <si>
    <t>Event Enabled</t>
  </si>
  <si>
    <t>FTSE IDXSummary DBI</t>
  </si>
  <si>
    <t>s3://gs-hp-us-east-1-uat-snowflake/raw_vendor_files/ftse/idxsummary_dbi/</t>
  </si>
  <si>
    <t>CSV</t>
  </si>
  <si>
    <t>STRUCTURED.FTSE_IDXSUMMARY_DBI</t>
  </si>
  <si>
    <t>FTSE IDXSummary RRBI</t>
  </si>
  <si>
    <t>s3://gs-hp-us-east-1-uat-snowflake/raw_vendor_files/ftse/idxsummary_rrbi/</t>
  </si>
  <si>
    <t>STRUCTURED.FTSE_IDXSUMMARY_RRBI</t>
  </si>
  <si>
    <t>FTSE IDXDetails DBI UO</t>
  </si>
  <si>
    <t>s3://gs-hp-us-east-1-uat-snowflake/raw_vendor_files/ftse/idxdetail_dbi_uo/</t>
  </si>
  <si>
    <t>STRUCTURED.FTSE_IDXDETAILS_DBI_UO</t>
  </si>
  <si>
    <t>FTSE IDXDetails RRBI TR</t>
  </si>
  <si>
    <t>s3://gs-hp-us-east-1-uat-snowflake/raw_vendor_files/ftse/idxdetail_rrbi_tr/</t>
  </si>
  <si>
    <t>STRUCTURED.FTSE_IDXDETAILS_RRBI_TR</t>
  </si>
  <si>
    <t>FTSE IDXDetails RRBI UO</t>
  </si>
  <si>
    <t>s3://gs-hp-us-east-1-uat-snowflake/raw_vendor_files/ftse/idxdetail_rrbi_uo/</t>
  </si>
  <si>
    <t>STRUCTURED.FTSE_IDXDETAILS_RRBI_UO</t>
  </si>
  <si>
    <t>FTSE IDXDetails DBI TR</t>
  </si>
  <si>
    <t>s3://gs-hp-us-east-1-uat-snowflake/raw_vendor_files/ftse/idxdetail_dbi_tr/</t>
  </si>
  <si>
    <t>STRUCTURED.FTSE_IDXDETAILS_DBI_TR</t>
  </si>
  <si>
    <t>FTSE SCMMKT</t>
  </si>
  <si>
    <t>s3://gs-hp-us-east-1-uat-snowflake/raw_vendor_files/ftse/scmmkt/</t>
  </si>
  <si>
    <t>STRUCTURED.FTSE_SCMMKT</t>
  </si>
  <si>
    <t>s3://gs-hp-us-east-1-uat-snowflake/raw_vendor_files/bb_per_sec/</t>
  </si>
  <si>
    <t>BLOOMBERG</t>
  </si>
  <si>
    <t>STRUCTURED.BLOOMBERG</t>
  </si>
  <si>
    <t>s3://gs-hp-us-east-1-uat-snowflake/raw_vendor_files/scd/</t>
  </si>
  <si>
    <t>STRUCTURED.SCD</t>
  </si>
  <si>
    <t>SnP Ratings</t>
  </si>
  <si>
    <t>s3://gs-hp-us-east-1-uat-snowflake/raw_vendor_files/snp_ratings/</t>
  </si>
  <si>
    <t>STRUCTURED.SNP_RATINGS</t>
  </si>
  <si>
    <t>Moodys Instrument Ratings</t>
  </si>
  <si>
    <t>s3://gs-hp-us-east-1-uat-snowflake/raw_vendor_files/moodys/instruments_ratings/</t>
  </si>
  <si>
    <t>MOODYS: Ratings</t>
  </si>
  <si>
    <t>STRUCTURED.MOODYS_INSTRUMENT_RATINGS</t>
  </si>
  <si>
    <t>Moodys Organization Ratings</t>
  </si>
  <si>
    <t>s3://gs-hp-us-east-1-uat-snowflake/raw_vendor_files/moodys/organization_ratings/</t>
  </si>
  <si>
    <t>STRUCTURED.MOODYS_ORGANIZATION_RATINGS</t>
  </si>
  <si>
    <t>Markit Red Entity</t>
  </si>
  <si>
    <t>s3://gs-hp-us-east-1-uat-snowflake/raw_vendor_files/markit/redentity/</t>
  </si>
  <si>
    <t>MARKIT: Entity</t>
  </si>
  <si>
    <t>STRUCTURED.MARKIT_RED_ENTITY</t>
  </si>
  <si>
    <t>Markit Credit Index Asia</t>
  </si>
  <si>
    <t>s3://gs-hp-us-east-1-uat-snowflake/raw_vendor_files/markit/creditindexasia/</t>
  </si>
  <si>
    <t>MARKIT: Index</t>
  </si>
  <si>
    <t>STRUCTURED.MARKIT_CREDIT_INDEX_ASIA</t>
  </si>
  <si>
    <t>Markit Credit Index Pricing</t>
  </si>
  <si>
    <t>s3://gs-hp-us-east-1-uat-snowflake/raw_vendor_files/markit/creditindexpricing/</t>
  </si>
  <si>
    <t>STRUCTURED.MARKIT_CREDIT_INDEX_PRICING</t>
  </si>
  <si>
    <t>Markit Credit Index Europe</t>
  </si>
  <si>
    <t>s3://gs-hp-us-east-1-uat-snowflake/raw_vendor_files/markit/creditindexeurope/</t>
  </si>
  <si>
    <t>STRUCTURED.MARKIT_CREDIT_INDEX_EUROPE</t>
  </si>
  <si>
    <t>Markit Red Obligation</t>
  </si>
  <si>
    <t>s3://gs-hp-us-east-1-uat-snowflake/raw_vendor_files/markit/obligation/</t>
  </si>
  <si>
    <t>MARKIT: Obligation</t>
  </si>
  <si>
    <t>STRUCTURED.MARKIT_RED_OBLIGATION</t>
  </si>
  <si>
    <t>Markit Composite CDS Basic Pricing</t>
  </si>
  <si>
    <t>s3://gs-hp-us-east-1-uat-snowflake/raw_vendor_files/markit/compositecdsbasicpricing/</t>
  </si>
  <si>
    <t>STRUCTURED.MARKIT_COMPOSITE_CDS_BASIC_PRICING</t>
  </si>
  <si>
    <t>Markit Credit Indices</t>
  </si>
  <si>
    <t>s3://gs-hp-us-east-1-uat-snowflake/raw_vendor_files/markit/creditindices/</t>
  </si>
  <si>
    <t>STRUCTURED.MARKIT_CREDIT_INDICES</t>
  </si>
  <si>
    <t>Bloomberg Corporate Actions</t>
  </si>
  <si>
    <t>s3://gs-hp-us-east-1-uat-snowflake/raw_vendor_files/bb_per_sec_cax/</t>
  </si>
  <si>
    <t>BLOOMBERG: Corporate Actions</t>
  </si>
  <si>
    <t>STRUCTURED.BLOOMBERG_CORPORATE_ACTIONS</t>
  </si>
  <si>
    <t>SVC Unmatched</t>
  </si>
  <si>
    <t>s3://gs-hp-us-east-1-uat-snowflake/raw_vendor_files/svc/svc_unmatched/</t>
  </si>
  <si>
    <t>SVC: Unmatched</t>
  </si>
  <si>
    <t>STRUCTURED.SVC_UNMATCHED</t>
  </si>
  <si>
    <t>SVC Inactive</t>
  </si>
  <si>
    <t>s3://gs-hp-us-east-1-uat-snowflake/raw_vendor_files/svc/svc_inactive/</t>
  </si>
  <si>
    <t>SVC: Inactive</t>
  </si>
  <si>
    <t>STRUCTURED.SVC_INACTIVE</t>
  </si>
  <si>
    <t>SVC Price</t>
  </si>
  <si>
    <t>s3://gs-hp-us-east-1-uat-snowflake/raw_vendor_files/svc/svc_price/</t>
  </si>
  <si>
    <t>STRUCTURED.SVC_PRICE</t>
  </si>
  <si>
    <t>SVC PRT</t>
  </si>
  <si>
    <t>s3://gs-hp-us-east-1-uat-snowflake/raw_vendor_files/svc/svc_prt/</t>
  </si>
  <si>
    <t>SVC: PRT</t>
  </si>
  <si>
    <t>STRUCTURED.SVC_PRT</t>
  </si>
  <si>
    <t>SnP TSX Indices</t>
  </si>
  <si>
    <t>s3://gs-hp-us-east-1-uat-snowflake/raw_vendor_files/snp_tsx/index/</t>
  </si>
  <si>
    <t>S&amp;P: Index</t>
  </si>
  <si>
    <t>STRUCTURED.SNP_TSX_INDICES</t>
  </si>
  <si>
    <t>SnP TSX Constituents</t>
  </si>
  <si>
    <t>s3://gs-hp-us-east-1-uat-snowflake/raw_vendor_files/snp_tsx/constituents/</t>
  </si>
  <si>
    <t>S&amp;P: Constituent</t>
  </si>
  <si>
    <t>STRUCTURED.SNP_TSX_CONSTITUENTS</t>
  </si>
  <si>
    <t>SnP 500 Constituents</t>
  </si>
  <si>
    <t>s3://gs-hp-us-east-1-uat-snowflake/raw_vendor_files/snp_500/constituents/</t>
  </si>
  <si>
    <t>STRUCTURED.SNP_500_CONSTITUENTS</t>
  </si>
  <si>
    <t>SnP 500 Indices</t>
  </si>
  <si>
    <t>s3://gs-hp-us-east-1-uat-snowflake/raw_vendor_files/snp_500/index/</t>
  </si>
  <si>
    <t>STRUCTURED.SNP_500_INDICES</t>
  </si>
  <si>
    <t>ICE Final EOD Settlements</t>
  </si>
  <si>
    <t>s3://gs-hp-us-east-1-uat-snowflake/raw_vendor_files/ice/finaleod/</t>
  </si>
  <si>
    <t>STRUCTURED.ICE_FINAL_EOD_SETTLEMENTS</t>
  </si>
  <si>
    <t>ICE CDS Single Name Clearing</t>
  </si>
  <si>
    <t>s3://gs-hp-us-east-1-uat-snowflake/raw_vendor_files/ice/cdssinglenameclearing/</t>
  </si>
  <si>
    <t>STRUCTURED.ICE_CDS_SINGLE_NAME_CLEARING</t>
  </si>
  <si>
    <t>ICE CDS Index Clearing</t>
  </si>
  <si>
    <t>s3://gs-hp-us-east-1-uat-snowflake/raw_vendor_files/ice/cdsindexclearing/</t>
  </si>
  <si>
    <t>STRUCTURED.ICE_CDS_INDEX_CLEARING</t>
  </si>
  <si>
    <t>Bloomberg Credit Risk</t>
  </si>
  <si>
    <t>s3://gs-hp-us-east-1-uat-snowflake/raw_vendor_files/bb_bulk/</t>
  </si>
  <si>
    <t>STRUCTURED.BLOOMBERG_CREDIT_RISK</t>
  </si>
  <si>
    <t>ICE PositionsMTM Pipeline</t>
  </si>
  <si>
    <t>s3://gs-hp-us-east-1-uat-snowflake/raw_vendor_files/ice/positionsmtm/</t>
  </si>
  <si>
    <t>STRUCTURED.ICE_POSITIONSMTM</t>
  </si>
  <si>
    <t>LCH Trade Prices</t>
  </si>
  <si>
    <t>s3://gs-hp-us-east-1-uat-snowflake/raw_vendor_files/lch/</t>
  </si>
  <si>
    <t>STRUCTURED.LCH_TRADE_PRICES_FEED</t>
  </si>
  <si>
    <t>HOOPP NT Security Master CSM</t>
  </si>
  <si>
    <t>s3://gs-hp-us-east-1-uat-snowflake/raw_vendor_files/northerntrust/security_master_csm</t>
  </si>
  <si>
    <t>STRUCTURED.HOOPP_NT_DAILY_SECURITY_MASTER_CSM_FEED</t>
  </si>
  <si>
    <t>HOOPP NT Daily Positions CSM</t>
  </si>
  <si>
    <t>s3://gs-hp-us-east-1-uat-snowflake/raw_vendor_files/northerntrust/daily_positions_csm</t>
  </si>
  <si>
    <t>STRUCTURED.HOOPP_NT_DAILY_POSITIONS_CSM_FEED</t>
  </si>
  <si>
    <t>HOOPP NT FMH2956S GSL Lending Report</t>
  </si>
  <si>
    <t>s3://gs-hp-us-east-1-uat-snowflake/raw_vendor_files/northerntrust/fmh2956s_gsl_lending_report</t>
  </si>
  <si>
    <t>STRUCTURED.HOOPP_NT_FMH2956S_GSL_LENDING_REPORT_FEED</t>
  </si>
  <si>
    <t>HOOPP NT Daily Transactions</t>
  </si>
  <si>
    <t>s3://gs-hp-us-east-1-uat-snowflake/raw_vendor_files/northerntrust/daily_transactions_csm</t>
  </si>
  <si>
    <t>STRUCTURED.HOOPP_NT_DAILY_TRANSACTIONS_CSM_FEED</t>
  </si>
  <si>
    <t>HOOPP NT Daily Collateral SRD2904 CSM</t>
  </si>
  <si>
    <t>s3://gs-hp-us-east-1-uat-snowflake/raw_vendor_files/northerntrust/daily_collaterial_srd2904_csm</t>
  </si>
  <si>
    <t>STRUCTURED.HOOPP_NT_DAILY_COLLATERIAL_SRD2904_CSM_FEED</t>
  </si>
  <si>
    <t>aws s3 ls s3://gs-hp-us-east-1-prod-snowflake/gs_hoopp_files/nt/2025/11/06/</t>
  </si>
  <si>
    <t>HOOPP NT Monthly Positions CSM</t>
  </si>
  <si>
    <t>s3://gs-hp-us-east-1-uat-snowflake/raw_vendor_files/northerntrust/monthly_position_csm</t>
  </si>
  <si>
    <t>STRUCTURED.HOOPP_NT_MONTHLY_POSITIONS_CSM_FEED</t>
  </si>
  <si>
    <t>HOOPP WMR Spots</t>
  </si>
  <si>
    <t>s3://gs-hp-us-east-1-uat-snowflake/raw_vendor_files/wmr/wmr_spots</t>
  </si>
  <si>
    <t>STRUCTURED.HOOPP_WMR_SPOTS_FEED</t>
  </si>
  <si>
    <t>HOOPP WMR Forwards Outright</t>
  </si>
  <si>
    <t>s3://gs-hp-us-east-1-uat-snowflake/raw_vendor_files/wmr/wmr_fwds_outright</t>
  </si>
  <si>
    <t>STRUCTURED.HOOPP_WMR_FORWARDS_OUTRIGHT_FEED</t>
  </si>
  <si>
    <t>HOOPP Broker CIBC Fee</t>
  </si>
  <si>
    <t>s3://gs-hp-us-east-1-uat-snowflake/raw_vendor_files/broker_files/cibc/fee</t>
  </si>
  <si>
    <t>STRUCTURED.HOOPP_BROKER_CIBC_FEE_FEED</t>
  </si>
  <si>
    <t>HOOPP Broker CIBCWM Fee</t>
  </si>
  <si>
    <t>s3://gs-hp-us-east-1-uat-snowflake/raw_vendor_files/broker_files/cibcwm/fee</t>
  </si>
  <si>
    <t>STRUCTURED.HOOPP_BROKER_CIBCWM_FEE_FEED</t>
  </si>
  <si>
    <t>HOOPP Broker SCM Fee</t>
  </si>
  <si>
    <t>s3://gs-hp-us-east-1-uat-snowflake/raw_vendor_files/broker_files/scm/fee</t>
  </si>
  <si>
    <t>STRUCTURED.HOOPP_BROKER_SCM_FEE_FEED</t>
  </si>
  <si>
    <t>HOOPP Broker GS Positions</t>
  </si>
  <si>
    <t>s3://gs-hp-us-east-1-uat-snowflake/raw_vendor_files/broker_files/gs/positions</t>
  </si>
  <si>
    <t>STRUCTURED.HOOPP_BROKER_GS_POSITIONS_FEED</t>
  </si>
  <si>
    <t>HOOPP Broker NATIXIS Positions</t>
  </si>
  <si>
    <t>s3://gs-hp-us-east-1-uat-snowflake/raw_vendor_files/broker_files/natixis/positions</t>
  </si>
  <si>
    <t>STRUCTURED.HOOPP_BROKER_NATIXIS_POSITIONS_FEED</t>
  </si>
  <si>
    <t>HOOPP Broker NT Positions</t>
  </si>
  <si>
    <t>s3://gs-hp-us-east-1-uat-snowflake/raw_vendor_files/broker_files/nt/positions</t>
  </si>
  <si>
    <t>STRUCTURED.HOOPP_BROKER_NT_POSITIONS_FEED</t>
  </si>
  <si>
    <t>HOOPP Broker BMO Positions</t>
  </si>
  <si>
    <t>s3://gs-hp-us-east-1-uat-snowflake/raw_vendor_files/broker_files/bmo/positions</t>
  </si>
  <si>
    <t>STRUCTURED.HOOPP_BROKER_BMO_POSITIONS_FEED</t>
  </si>
  <si>
    <t>HOOPP Broker CIBCWM Positions</t>
  </si>
  <si>
    <t>s3://gs-hp-us-east-1-uat-snowflake/raw_vendor_files/broker_files/cibcwm/positions</t>
  </si>
  <si>
    <t>STRUCTURED.HOOPP_BROKER_CIBCWM_POSITIONS_FEED</t>
  </si>
  <si>
    <t>HOOPP Broker TDSI Positions</t>
  </si>
  <si>
    <t>s3://gs-hp-us-east-1-uat-snowflake/raw_vendor_files/broker_files/tdsi/positions</t>
  </si>
  <si>
    <t>STRUCTURED.HOOPP_BROKER_TDSI_POSITIONS_FEED</t>
  </si>
  <si>
    <t>HOOPP Broker CIBC Positions</t>
  </si>
  <si>
    <t>s3://gs-hp-us-east-1-uat-snowflake/raw_vendor_files/broker_files/cibc/positions</t>
  </si>
  <si>
    <t>STRUCTURED.HOOPP_BROKER_CIBC_POSITIONS_FEED</t>
  </si>
  <si>
    <t>HOOPP Broker RTD Positions</t>
  </si>
  <si>
    <t>s3://gs-hp-us-east-1-uat-snowflake/raw_vendor_files/broker_files/rtd/positions</t>
  </si>
  <si>
    <t>STRUCTURED.HOOPP_BROKER_RTD_POSITIONS_FEE</t>
  </si>
  <si>
    <t>HOOPP Broker RBCDS Positions</t>
  </si>
  <si>
    <t>s3://gs-hp-us-east-1-uat-snowflake/raw_vendor_files/broker_files/rbcds/positions</t>
  </si>
  <si>
    <t>STRUCTURED.HOOPP_BROKER_RBCDS_POSITIONS_FEED</t>
  </si>
  <si>
    <t>HOOPP Broker SCM Positions</t>
  </si>
  <si>
    <t>s3://gs-hp-us-east-1-uat-snowflake/raw_vendor_files/broker_files/scm/positions</t>
  </si>
  <si>
    <t>STRUCTURED.HOOPP_BROKER_SCM_POSITIONS_FEED</t>
  </si>
  <si>
    <t>HOOPP Broker TDSI Fee</t>
  </si>
  <si>
    <t>s3://gs-hp-us-east-1-uat-snowflake/raw_vendor_files/broker_files/tdsi/fee</t>
  </si>
  <si>
    <t>STRUCTURED.HOOPP_BROKER_TDSI_FEE_FEED</t>
  </si>
  <si>
    <t>HOOPP Broker RBCDS Fee</t>
  </si>
  <si>
    <t>s3://gs-hp-us-east-1-uat-snowflake/raw_vendor_files/broker_files/rbcds/fee</t>
  </si>
  <si>
    <t>STRUCTURED.HOOPP_BROKER_RBCDS_FEE_FEED</t>
  </si>
  <si>
    <t>HOOPP Broker NATLBK Positions</t>
  </si>
  <si>
    <t>s3://gs-hp-us-east-1-uat-snowflake/raw_vendor_files/broker_files/natlbk/positions</t>
  </si>
  <si>
    <t>STRUCTURED.HOOPP_BROKER_NATLBK_POSITIONS_FEED</t>
  </si>
  <si>
    <t>Vendor License Category</t>
  </si>
  <si>
    <t>Vendor File Names</t>
  </si>
  <si>
    <t>OOB/Custom</t>
  </si>
  <si>
    <t xml:space="preserve">Release </t>
  </si>
  <si>
    <t>GS Connection Type</t>
  </si>
  <si>
    <t>Hoop ConnectionType</t>
  </si>
  <si>
    <t>File Name Pattern</t>
  </si>
  <si>
    <t>File Format</t>
  </si>
  <si>
    <t>Folder</t>
  </si>
  <si>
    <t>URL</t>
  </si>
  <si>
    <t>Port</t>
  </si>
  <si>
    <t>Username</t>
  </si>
  <si>
    <t>Password</t>
  </si>
  <si>
    <t>Status</t>
  </si>
  <si>
    <t>Additional Notes</t>
  </si>
  <si>
    <t xml:space="preserve">Third Party Agreemetn required ? </t>
  </si>
  <si>
    <t>Parallel Download Allowed?</t>
  </si>
  <si>
    <t>Time</t>
  </si>
  <si>
    <t>Bloomberg DL Per Security</t>
  </si>
  <si>
    <t>gs00000*.res</t>
  </si>
  <si>
    <t>OOB</t>
  </si>
  <si>
    <t>SFTP(RR)</t>
  </si>
  <si>
    <t>SFTP</t>
  </si>
  <si>
    <t>gs0000*.out</t>
  </si>
  <si>
    <t>/</t>
  </si>
  <si>
    <t>dlsftp.bloomberg.com</t>
  </si>
  <si>
    <t>dl202842</t>
  </si>
  <si>
    <t>Active</t>
  </si>
  <si>
    <t>Current MFT jobs file pattern: 
Download: PDI*.csv, PDI*.err
Upload: PDI*.req</t>
  </si>
  <si>
    <t>Complete</t>
  </si>
  <si>
    <t>BBG required GS Whitelist of IP and SSH Keys</t>
  </si>
  <si>
    <t>Bloomberg DL Bulk(Back Office)</t>
  </si>
  <si>
    <t>Hana Phase</t>
  </si>
  <si>
    <t>SFTP(Bulk Download)</t>
  </si>
  <si>
    <t>shareFuturesAsia?.out.gz.YYYYMMDD
shareFuturesAsia?.px.gz.YYYYMMDD
shareFuturesEuro.out.gz.YYYYMMDD
shareFuturesEuro.px.gz.YYYYMMDD
shareFuturesNamr.out.gz.YYYYMMDD
shareFuturesNamr.px.gz.YYYYMMDD
shareFuturesLamr.out.gz.YYYYMMDD
shareFuturesLamr.px.gz.YYYYMMDD</t>
  </si>
  <si>
    <t>dl789909</t>
  </si>
  <si>
    <t>Required for Dividend Futures FIle</t>
  </si>
  <si>
    <t>Required for  Corporate Structure</t>
  </si>
  <si>
    <t>Simcorp SMF</t>
  </si>
  <si>
    <t>SCD_SMF*.csv</t>
  </si>
  <si>
    <t>Custom</t>
  </si>
  <si>
    <t>Not Required - Internal</t>
  </si>
  <si>
    <t xml:space="preserve">6:15 PM , 9:05 PM , 4-6 AM </t>
  </si>
  <si>
    <t>Markit (RED)</t>
  </si>
  <si>
    <t>Markit Indices</t>
  </si>
  <si>
    <t>CDS_COMPOSITE_BY_CONVENTION.zip</t>
  </si>
  <si>
    <t>to be added later</t>
  </si>
  <si>
    <t>INDEX_COMPOSITE_CDX.zip</t>
  </si>
  <si>
    <t>HTTP</t>
  </si>
  <si>
    <t>INDEX_COMPOSITE_ITRAXX-EUROPE.zip</t>
  </si>
  <si>
    <t>Markit RED</t>
  </si>
  <si>
    <t>RED_ENTITY.zip</t>
  </si>
  <si>
    <t>RED_ENTITY-YYYYMMDD.zip</t>
  </si>
  <si>
    <t>/CDS</t>
  </si>
  <si>
    <t>sftp2.ihsmarkit.com</t>
  </si>
  <si>
    <t xml:space="preserve">Corporate User:
HOOPP
</t>
  </si>
  <si>
    <t xml:space="preserve">Corporate Pass:
hNFB@4HA
</t>
  </si>
  <si>
    <t>Confirm update to corporate account versus user named</t>
  </si>
  <si>
    <t>RED_OBLIGATION.zip</t>
  </si>
  <si>
    <t>RED_OBLIGATION-YYYYMMDD.zip</t>
  </si>
  <si>
    <t>RED_CDX_DYNAMIC.zip</t>
  </si>
  <si>
    <t>RED_CDX_DYNAMIC-YYYYMMDD.zip</t>
  </si>
  <si>
    <t>Markit CDS Pricing</t>
  </si>
  <si>
    <t>RED_ITRAXX_EUR_DYNAMIC.zip</t>
  </si>
  <si>
    <t>RED_ITRAXX_EUR_DYNAMIC-YYYYMMDD.zip</t>
  </si>
  <si>
    <t>HOOPP_SG_DAILY_2.xml</t>
  </si>
  <si>
    <t>/HOOPP_SG_DAILY_2/PV/Results</t>
  </si>
  <si>
    <t>files-eu.ihsmarkit.com</t>
  </si>
  <si>
    <t>HOOPP_PV@hoopp.com</t>
  </si>
  <si>
    <t>hxx3Eizu</t>
  </si>
  <si>
    <t>HOOPP_SG_DAILY_CRED.xml</t>
  </si>
  <si>
    <t>/HOOPP_SG_DAILY_CRED/PV/Results</t>
  </si>
  <si>
    <t>HOOPP_SG_DAILY.xml</t>
  </si>
  <si>
    <t>/HOOPP_SG_DAILY/PV/Results</t>
  </si>
  <si>
    <t>Markit CDS Pricing 2025</t>
  </si>
  <si>
    <t>same file name patterns as before</t>
  </si>
  <si>
    <t>same folder structures as before</t>
  </si>
  <si>
    <t>sftp1.spglobal.com</t>
  </si>
  <si>
    <t>hxx3Eizu$2025</t>
  </si>
  <si>
    <t>Markit MCA 15022</t>
  </si>
  <si>
    <t>mca_prop_c# (5 cycles)
MARKIT_CORP_ACTIONS_EVENT_INFO
MARKIT_CORP_ACTIONS_OPTION_INFO
MARKIT_CORP_ACTIONS_PAYOUT_INFO
MARKIT_CORP_ACTIONS_TEXT_INFO</t>
  </si>
  <si>
    <t>HANA</t>
  </si>
  <si>
    <t>Main Price File</t>
  </si>
  <si>
    <t>SCD_SVC_PRICE_YYMMDD.txt </t>
  </si>
  <si>
    <t>ftp.svco.com</t>
  </si>
  <si>
    <t>SVCZ106</t>
  </si>
  <si>
    <t>nUye2DBE</t>
  </si>
  <si>
    <t>discuss PROD approach with GS</t>
  </si>
  <si>
    <t>Not Required</t>
  </si>
  <si>
    <t>SCD_SVC_UNMATCHED_YYMMDD.txt </t>
  </si>
  <si>
    <t>SCD_SVC_PRT_YYMMDD.txt</t>
  </si>
  <si>
    <t>SCD_SVC_INACTIVE_YYMMDD.txt</t>
  </si>
  <si>
    <t>SCD_SVC_STALE_YYMMDD.txt </t>
  </si>
  <si>
    <t>DBI Index</t>
  </si>
  <si>
    <t>idxsummary_dbi.csv</t>
  </si>
  <si>
    <t>/data/PCBond/scindex</t>
  </si>
  <si>
    <t>data.ftse.com</t>
  </si>
  <si>
    <t>FQHOOPP</t>
  </si>
  <si>
    <t>e`P{i~#lMP</t>
  </si>
  <si>
    <t>RRBI Index</t>
  </si>
  <si>
    <t>idxsummary_rrbi.csv</t>
  </si>
  <si>
    <t>/data/PCBond/rrbi</t>
  </si>
  <si>
    <t>Money Market Index</t>
  </si>
  <si>
    <t>scmmkt.csv</t>
  </si>
  <si>
    <t>/data/PCBond/scmmkt</t>
  </si>
  <si>
    <t>DBI Constituents Return Level data</t>
  </si>
  <si>
    <t>idxdetail_dbi_tr.csv</t>
  </si>
  <si>
    <t>/data/PCBond/deidxtr</t>
  </si>
  <si>
    <t>DBI Constituents Risk Level data</t>
  </si>
  <si>
    <t>idxdetail_dbi_uo.csv</t>
  </si>
  <si>
    <t>/data/PCBond/deindex</t>
  </si>
  <si>
    <t>RRBI Constituents Return Level data</t>
  </si>
  <si>
    <t>idxdetail_rrbi_tr.csv</t>
  </si>
  <si>
    <t>RRBI Constituents Risk Level data</t>
  </si>
  <si>
    <t>idxdetail_rrbi_uo.csv</t>
  </si>
  <si>
    <t>/data/PCBond/DEIDXRR</t>
  </si>
  <si>
    <t>Copp Clark</t>
  </si>
  <si>
    <t>Holiday Data Service</t>
  </si>
  <si>
    <t>FinancialCentres_20241107.csv.zip	
FileExchangeTrading_20241107.csv.zip	
FileExchangeSettlement_20241107.csv.zip	
FileCurrencies_20241107.csv.zip</t>
  </si>
  <si>
    <t>/hoopp.hds</t>
  </si>
  <si>
    <t>sftp.coppclark.com</t>
  </si>
  <si>
    <t>hoopp.hds</t>
  </si>
  <si>
    <t>Nr1~)^=5</t>
  </si>
  <si>
    <t>limit connections to the server no more than once every 30 minutes</t>
  </si>
  <si>
    <t>S&amp;P Xpressfeed Ratings</t>
  </si>
  <si>
    <t>Xpress ratings</t>
  </si>
  <si>
    <t>RTG_SP_</t>
  </si>
  <si>
    <t xml:space="preserve">OOB </t>
  </si>
  <si>
    <t>edx.spglobal.com</t>
  </si>
  <si>
    <t>Hosp0736</t>
  </si>
  <si>
    <t>5a4f4hnC</t>
  </si>
  <si>
    <t>Confirm main and delta, issue and issuer ratings</t>
  </si>
  <si>
    <t>Daily</t>
  </si>
  <si>
    <t>\Products\</t>
  </si>
  <si>
    <t>Index</t>
  </si>
  <si>
    <t>SP500</t>
  </si>
  <si>
    <t>/Products/SP_US_EOD</t>
  </si>
  <si>
    <t>edx.standardandpoors.com</t>
  </si>
  <si>
    <t>hooppim</t>
  </si>
  <si>
    <t>Trn4bt0</t>
  </si>
  <si>
    <t>In discussion with Volker and S&amp;P</t>
  </si>
  <si>
    <t>TBD</t>
  </si>
  <si>
    <t>Constituents</t>
  </si>
  <si>
    <t>SP500_CLS</t>
  </si>
  <si>
    <t>YYYYMMDD_SP500.SDL</t>
  </si>
  <si>
    <t>Index (350+ files)</t>
  </si>
  <si>
    <t>If needed, can provide full list</t>
  </si>
  <si>
    <t>Why are these not loaded?</t>
  </si>
  <si>
    <t>Moodys Analytics</t>
  </si>
  <si>
    <t>Ratings</t>
  </si>
  <si>
    <t>Transfer.Moodys.com</t>
  </si>
  <si>
    <t>InvestmentAllocations_RDS</t>
  </si>
  <si>
    <t>v7R9E6m5</t>
  </si>
  <si>
    <t>TSX</t>
  </si>
  <si>
    <t>SPTSX_PACKAGE_2_CLS_SDC.zip (20 extracts)</t>
  </si>
  <si>
    <t>YYYYMMDD_SPTSX_PACKAGE_2_CLS_SDC.zip</t>
  </si>
  <si>
    <t>sftp.tmxwebstore.com</t>
  </si>
  <si>
    <t>A-team@hoopp.com</t>
  </si>
  <si>
    <t>Tb394xgp7</t>
  </si>
  <si>
    <t>SPTSX_INDEX_SDL.zip (57 extracts)</t>
  </si>
  <si>
    <t>YYYYMMDD_SPTSX_INDEX_SDL.zip</t>
  </si>
  <si>
    <t>Refinitive</t>
  </si>
  <si>
    <t>Refinitiv DataScope Select [DSS]</t>
  </si>
  <si>
    <t>us_treasury_prices.csv
us_treasury_fi_analytics.csv</t>
  </si>
  <si>
    <t>API/WEB service request to TR</t>
  </si>
  <si>
    <t>LEI_Credit_Ratings.csv</t>
  </si>
  <si>
    <t>Generated from Data Scope</t>
  </si>
  <si>
    <t>Daily_Pricing_CMBS_Extract.csv
HOOPP CLO.xls
OnD_0x07*.csv</t>
  </si>
  <si>
    <t>MSCI</t>
  </si>
  <si>
    <t>MSCI Real Estate</t>
  </si>
  <si>
    <t>Data_Global_Intel_CA_A00A
Data_Global_Intel_LABELS
Data_MNIntel_CAD_VARIABLE
Data_MNIntel_LABELS</t>
  </si>
  <si>
    <t>DBRS Morningstar</t>
  </si>
  <si>
    <t>LEI Ratings</t>
  </si>
  <si>
    <t>HOOPP4_DBPTF</t>
  </si>
  <si>
    <t>ESMA</t>
  </si>
  <si>
    <t>esma</t>
  </si>
  <si>
    <t>ESMA_FIRDS_DELTA</t>
  </si>
  <si>
    <t>DLTINS</t>
  </si>
  <si>
    <t>ESMA_FIRDS_UK_DELTA</t>
  </si>
  <si>
    <t>UK_DLTINS</t>
  </si>
  <si>
    <t>ESMA_SOVEREIGN_DEBT</t>
  </si>
  <si>
    <t>eu_debt</t>
  </si>
  <si>
    <t>ESMA_UK</t>
  </si>
  <si>
    <t>uk_esma</t>
  </si>
  <si>
    <t>ESMA_UK_SOVEREIGN_DEBT</t>
  </si>
  <si>
    <t>Sovereign_Debt</t>
  </si>
  <si>
    <t>Factset</t>
  </si>
  <si>
    <t>Country of Risk</t>
  </si>
  <si>
    <t>countryfile_[YYYY][MM][DD].txt</t>
  </si>
  <si>
    <t>MorningStar</t>
  </si>
  <si>
    <t xml:space="preserve">Daily / Consolidated SPBDAL </t>
  </si>
  <si>
    <t>SPBDAL.SPLLL
SPBDALL.SPFIL</t>
  </si>
  <si>
    <t xml:space="preserve">Daily / Weekly SPBDAL Constituents </t>
  </si>
  <si>
    <t>SPBDAL.SPLLC
SPBDAL_Components</t>
  </si>
  <si>
    <t>FX Rates</t>
  </si>
  <si>
    <t>DAILY_TRANSACTIONS_SRD3363_CSM</t>
  </si>
  <si>
    <t>DAILY_TRANSACTIONS_SRD3363_CSM_20240627_201907.CSV</t>
  </si>
  <si>
    <t>/HOOPP1S/OUTBOUND</t>
  </si>
  <si>
    <t>secure-b2bi.ntrs.com</t>
  </si>
  <si>
    <t>HOOPP1S</t>
  </si>
  <si>
    <t>E74gb#Zq5TuNh</t>
  </si>
  <si>
    <t>SECURITY_MASTER_CSM</t>
  </si>
  <si>
    <t>SECURITY_MASTER_CSM_20240627_201904.CSV</t>
  </si>
  <si>
    <t>Security Lending</t>
  </si>
  <si>
    <t>ntsl__20231127.txt</t>
  </si>
  <si>
    <t>Collateral Positions</t>
  </si>
  <si>
    <t>DAILY_COLLATERIAL_SRD2904_CSM</t>
  </si>
  <si>
    <t>DAILY_COLLATERIAL_SRD2904_CSM_20240627_222839.CSV</t>
  </si>
  <si>
    <t>Daily / Monthly Positions</t>
  </si>
  <si>
    <t>DAILY_POSITIONS_CSM
MONTHLY_POSITION_CSM</t>
  </si>
  <si>
    <t>DAILY_POSITIONS_CSM_20240627_201907.CSV</t>
  </si>
  <si>
    <t>Daily Transactions</t>
  </si>
  <si>
    <t>DAILY_TRANSACTIONS_CSM</t>
  </si>
  <si>
    <t>DAILY_TRANSACTIONS_CSM_20240627_201906.CSV</t>
  </si>
  <si>
    <t>FX Rates(Spot)</t>
  </si>
  <si>
    <t>intraday_fx.HOOPS</t>
  </si>
  <si>
    <t>20240708.intraday_fx.HOOPS.csv</t>
  </si>
  <si>
    <t>/outgoing</t>
  </si>
  <si>
    <t>sfx2.gs.com</t>
  </si>
  <si>
    <t>fut_HOOPS</t>
  </si>
  <si>
    <t>bBk_7834Zv</t>
  </si>
  <si>
    <t>CME</t>
  </si>
  <si>
    <t>CME cleared IRS prices</t>
  </si>
  <si>
    <t>IRSTR_HPP_yyyymmdd_EOD.csv</t>
  </si>
  <si>
    <t>IRSTR_HPP_20240705_EOD.csv</t>
  </si>
  <si>
    <t>/cme/ftp/HPP/Outgoing</t>
  </si>
  <si>
    <t>sftpng.cmegroup.com</t>
  </si>
  <si>
    <t>FHPPFTP</t>
  </si>
  <si>
    <t>CDS / CDX Prices</t>
  </si>
  <si>
    <t>ICC_CDSSingleNameClearingEligibleInstruments 
ICC_hoopp_FinalEODSettlements
ICC_hoopp_PositionMTMMarginDetail</t>
  </si>
  <si>
    <t>/
/
/</t>
  </si>
  <si>
    <t xml:space="preserve">
mft.icelink.ice.com</t>
  </si>
  <si>
    <t>svc-mft-ilhoopp</t>
  </si>
  <si>
    <t>&lt;no Password&gt;
Connects using 4096 bit key</t>
  </si>
  <si>
    <t>CDS / CDX</t>
  </si>
  <si>
    <t xml:space="preserve">ICC_CDSIndexClearingEligibleInstruments </t>
  </si>
  <si>
    <t>B</t>
  </si>
  <si>
    <t>ICC_CDSIndexClearingEligibleInstruments_20240705.csv</t>
  </si>
  <si>
    <t>mft.icelink.ice.com</t>
  </si>
  <si>
    <t>CDS Option Prices</t>
  </si>
  <si>
    <t>ICC_hoopp_FinalSettlements_SW2-OPT</t>
  </si>
  <si>
    <t>ICC_hoopp_FinalSettlements_20240705_SW2-OPT.csv</t>
  </si>
  <si>
    <t>LSE</t>
  </si>
  <si>
    <t>Cleared Interest Rate Swaps Prices</t>
  </si>
  <si>
    <t xml:space="preserve">P-PSWC-HOOPPXXX_FDM-date-140439_date_REP000F1a - Trade Level Pricing_ 1.TXT
</t>
  </si>
  <si>
    <t>P-PSWC-HOOPPXXX_FDM-20240705-015605_20240705_REP000F1e - Trade Level Pricing_ 1.TXT</t>
  </si>
  <si>
    <t>/HOOPPXXX_FDM/SwapClear/</t>
  </si>
  <si>
    <t>sftp-client-clearingservices.lch.com</t>
  </si>
  <si>
    <t>lchsftp1@hoopp.com</t>
  </si>
  <si>
    <t>A@X[bl44vSJt</t>
  </si>
  <si>
    <t>World Market (WM)</t>
  </si>
  <si>
    <t>FX Spot Rates</t>
  </si>
  <si>
    <t>wmr</t>
  </si>
  <si>
    <t>wmrDDMM.csv</t>
  </si>
  <si>
    <t>/data/WMR_Spots/UK-4pm-wmr/</t>
  </si>
  <si>
    <t>download.wmrbenchmarks.lseg.com</t>
  </si>
  <si>
    <t>Healthca1486</t>
  </si>
  <si>
    <t>u6@o4/3m</t>
  </si>
  <si>
    <t xml:space="preserve">
tdsi_hoopp_loan_fees_03 Account_07-08-2024.csv
TD position file_07-08-2024.csv</t>
  </si>
  <si>
    <t>/user_hoopp/reports/</t>
  </si>
  <si>
    <t>tdsecurities.ftptoday.com</t>
  </si>
  <si>
    <t>user_hoopp</t>
  </si>
  <si>
    <t>91user88</t>
  </si>
  <si>
    <t>(Manesh) Password is up-to-date</t>
  </si>
  <si>
    <t>/hoopp_out</t>
  </si>
  <si>
    <t>ssh.fh.efts.cibc.ca</t>
  </si>
  <si>
    <t>cmt_hoopp_feed</t>
  </si>
  <si>
    <t>CM2Hoopp123$</t>
  </si>
  <si>
    <r>
      <rPr>
        <sz val="11"/>
        <color rgb="FF000000"/>
        <rFont val="Calibri"/>
        <family val="2"/>
        <scheme val="minor"/>
      </rPr>
      <t xml:space="preserve">(Cindy) Password is only for PROD, UAT has no password. 2048 bit SSH Key is mandatory 
</t>
    </r>
    <r>
      <rPr>
        <b/>
        <sz val="11"/>
        <color rgb="FF000000"/>
        <rFont val="Calibri"/>
        <family val="2"/>
        <scheme val="minor"/>
      </rPr>
      <t>UAT SSH PASSPHRASE:</t>
    </r>
    <r>
      <rPr>
        <sz val="11"/>
        <color rgb="FF000000"/>
        <rFont val="Calibri"/>
        <family val="2"/>
        <scheme val="minor"/>
      </rPr>
      <t xml:space="preserve"> f*ZF5RE25q%*                 </t>
    </r>
    <r>
      <rPr>
        <b/>
        <sz val="11"/>
        <color rgb="FF000000"/>
        <rFont val="Calibri"/>
        <family val="2"/>
        <scheme val="minor"/>
      </rPr>
      <t>PROD SSH PASSPHRASE:</t>
    </r>
    <r>
      <rPr>
        <sz val="11"/>
        <color rgb="FF000000"/>
        <rFont val="Calibri"/>
        <family val="2"/>
        <scheme val="minor"/>
      </rPr>
      <t xml:space="preserve"> f*ZF5RE25q%*1123</t>
    </r>
  </si>
  <si>
    <r>
      <rPr>
        <b/>
        <sz val="11"/>
        <color rgb="FF000000"/>
        <rFont val="Calibri"/>
        <family val="2"/>
        <scheme val="minor"/>
      </rPr>
      <t>No</t>
    </r>
    <r>
      <rPr>
        <sz val="11"/>
        <color rgb="FF000000"/>
        <rFont val="Calibri"/>
        <family val="2"/>
        <scheme val="minor"/>
      </rPr>
      <t>, HOOPP Collateral_*.txt, HOOPP Loands*.txt, cibc_hoopp_holdings_*.csv and cibc_hoopp_fee_*.csv deleted after download</t>
    </r>
  </si>
  <si>
    <t xml:space="preserve"> </t>
  </si>
  <si>
    <t>/outbound/</t>
  </si>
  <si>
    <t>sftp.rbc.com</t>
  </si>
  <si>
    <t>YCM1UB4Y</t>
  </si>
  <si>
    <t>Upsuns66</t>
  </si>
  <si>
    <t>(Manesh) Password is up-to-date. 1024 bit SSH Key is mandatory</t>
  </si>
  <si>
    <r>
      <rPr>
        <b/>
        <sz val="11"/>
        <color rgb="FF000000"/>
        <rFont val="Calibri"/>
        <family val="2"/>
        <scheme val="minor"/>
      </rPr>
      <t>Yes,</t>
    </r>
    <r>
      <rPr>
        <sz val="11"/>
        <color rgb="FF000000"/>
        <rFont val="Calibri"/>
        <family val="2"/>
        <scheme val="minor"/>
      </rPr>
      <t xml:space="preserve"> archived in </t>
    </r>
    <r>
      <rPr>
        <b/>
        <sz val="11"/>
        <color rgb="FF000000"/>
        <rFont val="Calibri"/>
        <family val="2"/>
        <scheme val="minor"/>
      </rPr>
      <t>/archive/ZMI0/</t>
    </r>
    <r>
      <rPr>
        <sz val="11"/>
        <color rgb="FF000000"/>
        <rFont val="Calibri"/>
        <family val="2"/>
        <scheme val="minor"/>
      </rPr>
      <t xml:space="preserve"> folder</t>
    </r>
  </si>
  <si>
    <t>/hoopp/RBCDexia</t>
  </si>
  <si>
    <t>sftp2.hoopp.com</t>
  </si>
  <si>
    <t>rbc</t>
  </si>
  <si>
    <t xml:space="preserve"> (hosted by HOOPP thru a reseller iLAP)</t>
  </si>
  <si>
    <t>(Cindy) No Password. 2048 bit SSH Key is mandatory</t>
  </si>
  <si>
    <r>
      <rPr>
        <b/>
        <sz val="11"/>
        <color rgb="FF000000"/>
        <rFont val="Calibri"/>
        <family val="2"/>
        <scheme val="minor"/>
      </rPr>
      <t>Yes</t>
    </r>
    <r>
      <rPr>
        <sz val="11"/>
        <color rgb="FF000000"/>
        <rFont val="Calibri"/>
        <family val="2"/>
        <scheme val="minor"/>
      </rPr>
      <t>, archived in</t>
    </r>
    <r>
      <rPr>
        <b/>
        <sz val="11"/>
        <color rgb="FF000000"/>
        <rFont val="Calibri"/>
        <family val="2"/>
        <scheme val="minor"/>
      </rPr>
      <t xml:space="preserve"> /hoopp/RBCDexia/Archive</t>
    </r>
  </si>
  <si>
    <t>/outgoing/</t>
  </si>
  <si>
    <t>hoopp_cc</t>
  </si>
  <si>
    <t>+mN!t#qLI[Z1GjI(</t>
  </si>
  <si>
    <t>NEW PASSWORD FOR HOOPP_CC PLS UPDATE</t>
  </si>
  <si>
    <t>(Manesh) Password is up-to-date. No SSH Key</t>
  </si>
  <si>
    <r>
      <rPr>
        <b/>
        <sz val="11"/>
        <color rgb="FF000000"/>
        <rFont val="Calibri"/>
        <family val="2"/>
        <scheme val="minor"/>
      </rPr>
      <t>No</t>
    </r>
    <r>
      <rPr>
        <sz val="11"/>
        <color rgb="FF000000"/>
        <rFont val="Calibri"/>
        <family val="2"/>
        <scheme val="minor"/>
      </rPr>
      <t>, HOOPP Recon 20*.csv deleted after download</t>
    </r>
  </si>
  <si>
    <t>/Home/GEP/HOOPP/outgoing</t>
  </si>
  <si>
    <t>filedrop.bmocm.com</t>
  </si>
  <si>
    <t>hooppsftp</t>
  </si>
  <si>
    <t>E4?APFEX6*]gv</t>
  </si>
  <si>
    <t>New Password updated</t>
  </si>
  <si>
    <t>(Manesh) Password out-of-date. New password updated in the sheet</t>
  </si>
  <si>
    <t>Yes, archived to /Home/GEP/HOOPP/outgoing/Archive after 24 hours</t>
  </si>
  <si>
    <t>FTP</t>
  </si>
  <si>
    <t>/natixis</t>
  </si>
  <si>
    <t>216.223.152.3</t>
  </si>
  <si>
    <t>hooppftp1</t>
  </si>
  <si>
    <t>tiMe2e5y</t>
  </si>
  <si>
    <r>
      <rPr>
        <sz val="11"/>
        <color rgb="FF000000"/>
        <rFont val="Calibri"/>
        <family val="2"/>
        <scheme val="minor"/>
      </rPr>
      <t xml:space="preserve">Yes, archived to </t>
    </r>
    <r>
      <rPr>
        <b/>
        <sz val="11"/>
        <color rgb="FF000000"/>
        <rFont val="Calibri"/>
        <family val="2"/>
        <scheme val="minor"/>
      </rPr>
      <t>/natixis/Archive</t>
    </r>
  </si>
  <si>
    <t>HOOPPS.SCM_FEE_HOOPP_20240708.TXTHOOPPS.SCM_POS_HOOPP_20240708.TXT</t>
  </si>
  <si>
    <t>pymthwy.scotiabank.com</t>
  </si>
  <si>
    <t>HOOPPS</t>
  </si>
  <si>
    <t>&lt;no Password&gt;
Connects using SSH key</t>
  </si>
  <si>
    <t>(Cindy) no Password. 1024 bit SSH Key is mandatory</t>
  </si>
  <si>
    <r>
      <rPr>
        <b/>
        <sz val="11"/>
        <color rgb="FF000000"/>
        <rFont val="Calibri"/>
        <family val="2"/>
        <scheme val="minor"/>
      </rPr>
      <t>No</t>
    </r>
    <r>
      <rPr>
        <sz val="11"/>
        <color rgb="FF000000"/>
        <rFont val="Calibri"/>
        <family val="2"/>
        <scheme val="minor"/>
      </rPr>
      <t>, HOOPPs.SCM_FEE_HOOPP*.txt and HOOPPs.SCM_POS_HOOPP_*.txt deleted after download</t>
    </r>
  </si>
  <si>
    <t>/bnc</t>
  </si>
  <si>
    <t>sftp.hoopp.com</t>
  </si>
  <si>
    <t>hoopp</t>
  </si>
  <si>
    <r>
      <rPr>
        <b/>
        <sz val="11"/>
        <color rgb="FF000000"/>
        <rFont val="Calibri"/>
        <family val="2"/>
        <scheme val="minor"/>
      </rPr>
      <t>Yes</t>
    </r>
    <r>
      <rPr>
        <sz val="11"/>
        <color rgb="FF000000"/>
        <rFont val="Calibri"/>
        <family val="2"/>
        <scheme val="minor"/>
      </rPr>
      <t>, archived to</t>
    </r>
    <r>
      <rPr>
        <b/>
        <sz val="11"/>
        <color rgb="FF000000"/>
        <rFont val="Calibri"/>
        <family val="2"/>
        <scheme val="minor"/>
      </rPr>
      <t xml:space="preserve"> /bnc/Archived</t>
    </r>
  </si>
  <si>
    <t>Update missing Broker Connections</t>
  </si>
  <si>
    <t>DATE</t>
  </si>
  <si>
    <t>USER</t>
  </si>
  <si>
    <t>Modified Job Chain</t>
  </si>
  <si>
    <t>Modified Job</t>
  </si>
  <si>
    <t>Comment</t>
  </si>
  <si>
    <t>How we can clean ISPS and GPCS tables</t>
  </si>
  <si>
    <t>Sq No</t>
  </si>
  <si>
    <t>Step</t>
  </si>
  <si>
    <t>Identify the group to be cleaned along with the date</t>
  </si>
  <si>
    <r>
      <rPr>
        <sz val="11"/>
        <color rgb="FF000000"/>
        <rFont val="Calibri"/>
        <family val="2"/>
        <scheme val="minor"/>
      </rPr>
      <t>Run this procedure by passing in the above params. This is a sample command:
call delete_golden_prices_only_isps_gpcs(</t>
    </r>
    <r>
      <rPr>
        <i/>
        <sz val="11"/>
        <color rgb="FFBF8F00"/>
        <rFont val="Calibri"/>
        <family val="2"/>
        <scheme val="minor"/>
      </rPr>
      <t>'GV_EOD_BONDS_PD_LONG_FV','2023-10-03'</t>
    </r>
    <r>
      <rPr>
        <sz val="11"/>
        <color rgb="FF000000"/>
        <rFont val="Calibri"/>
        <family val="2"/>
        <scheme val="minor"/>
      </rPr>
      <t>);</t>
    </r>
  </si>
  <si>
    <t>HOOPP Alert Matrix</t>
  </si>
  <si>
    <t>Types of Alerts/Reports</t>
  </si>
  <si>
    <t>To be Actioned By</t>
  </si>
  <si>
    <t>Notified to</t>
  </si>
  <si>
    <t>Alert or Report</t>
  </si>
  <si>
    <t>Dev Work Required</t>
  </si>
  <si>
    <t>Additional Comment</t>
  </si>
  <si>
    <t>File movement Failure Scenario</t>
  </si>
  <si>
    <t>GS to vendor</t>
  </si>
  <si>
    <t>GS</t>
  </si>
  <si>
    <t>HOOPP</t>
  </si>
  <si>
    <t>Report</t>
  </si>
  <si>
    <t>Monthly</t>
  </si>
  <si>
    <t>No immediate alert to be sent to HOOPP however should be part of Monthly Report in Files delayed or not available report. GS MS team to take care of this.</t>
  </si>
  <si>
    <t>Vendor to GS</t>
  </si>
  <si>
    <t>Market data loads to ODS</t>
  </si>
  <si>
    <t>Alert</t>
  </si>
  <si>
    <t>Immediate</t>
  </si>
  <si>
    <t>An alert should be sent to HOOPP if SLO is breached</t>
  </si>
  <si>
    <t>ODS to S3 (Raw)</t>
  </si>
  <si>
    <t>An alert should be sent to HOOPP if SLO for the publishing is breached.</t>
  </si>
  <si>
    <t>ODS to S3 (Refined)</t>
  </si>
  <si>
    <t>S3 to SF (Raw Structured)</t>
  </si>
  <si>
    <t>S3 to SF (Refined)</t>
  </si>
  <si>
    <t>Delay in Job Completion Alert</t>
  </si>
  <si>
    <t>If there is any Price Validation job specific SLO defined then an alert to be sent to HOOPP</t>
  </si>
  <si>
    <t>SF to SCD</t>
  </si>
  <si>
    <t>TBD Internally not in scope of soft go live</t>
  </si>
  <si>
    <t>SCD to ODS</t>
  </si>
  <si>
    <t>S3 to SF</t>
  </si>
  <si>
    <t>SCD to SF (Via HANA)</t>
  </si>
  <si>
    <t>Other Alerts/Reports</t>
  </si>
  <si>
    <t>GS Exceptions - Record count, 
Fails, Warnings</t>
  </si>
  <si>
    <t>Techincal - GS
Business - HOOPP</t>
  </si>
  <si>
    <t>The current dashboard allow us to view exceptions and load data for a day and there is no way to do view D-o-D comparison. . (See tab Load Error Report)
Hence GS should develop a Daily Report highlighting cases where there is a difference in D-o-D exception count. The report should also have details like Average Record Count and Expected Record Count.
GS also suggested that they can build exception threshold alerts.</t>
  </si>
  <si>
    <t>Scheduled sequence</t>
  </si>
  <si>
    <t>Daily report showing the scheduler run status for that day including SLO Breaches, manual interventions, dependency checks. Should have red, green, and amber status of jobs for Ops team to review.</t>
  </si>
  <si>
    <t>SLO Breaches Report</t>
  </si>
  <si>
    <t>Report highlighting all the SLO breaches trends and the reason of those SLO breaches i.e. Vendor delay, GS performance Issues</t>
  </si>
  <si>
    <t>Files delayed or not available</t>
  </si>
  <si>
    <t>Monthly report - not issue to us unless delays overnight</t>
  </si>
  <si>
    <t>SLO Breaches</t>
  </si>
  <si>
    <t>Any type of SLO breach should be reported to HOOPP as it occurs</t>
  </si>
  <si>
    <t>All the alerts which are critical for soft go live are marked in Red.</t>
  </si>
  <si>
    <r>
      <rPr>
        <sz val="11"/>
        <color rgb="FF000000"/>
        <rFont val="Calibri"/>
        <family val="2"/>
        <scheme val="minor"/>
      </rPr>
      <t xml:space="preserve">All the alerts should go to </t>
    </r>
    <r>
      <rPr>
        <b/>
        <u/>
        <sz val="11"/>
        <color rgb="FF000000"/>
        <rFont val="Calibri"/>
        <family val="2"/>
        <scheme val="minor"/>
      </rPr>
      <t xml:space="preserve">goldensourceoperations@hoopp.com </t>
    </r>
  </si>
  <si>
    <t>As of now alerting and monitoring scope is only till S3 and from S3 to SF monitoring part is still in discussion.</t>
  </si>
  <si>
    <t>GS MS team to chase the vendor for any file delay. However, the vendor details will be shared with GS over the period of the time and till that time GS can reach out to HOOPP. Vendor contact details have been updated in the ADITLO.</t>
  </si>
  <si>
    <t>GS can add alert for Missing and Suspect Prices in case if there are any such case after price validation. Detailed requirements to finalized post go live.</t>
  </si>
  <si>
    <t>Other than this no other point pending at HOOPP side to be added to ADITLO. However if there is any question GS can reach out to us.</t>
  </si>
  <si>
    <t>HOOPP only wants to receive alerts for failed SLO scenarios. We don’t want any alert for successful run or alerts where SLO hasn’t reached. Please find below matrix for reference:</t>
  </si>
  <si>
    <t>Default Alerts:</t>
  </si>
  <si>
    <t>Failures, partial failures, informative alerts and general exception handling</t>
  </si>
  <si>
    <t>Full failures create alert</t>
  </si>
  <si>
    <t>HOOPP to define – failure, partial failure and information alerts</t>
  </si>
  <si>
    <t>Partial failure. Define the columns which we want full or partial failure</t>
  </si>
  <si>
    <t>Null vs value</t>
  </si>
  <si>
    <t>Value but invalid – ie negative volatility (business case on data content check)</t>
  </si>
  <si>
    <t>HOOPP to identify files which failures are not expected</t>
  </si>
  <si>
    <t>HOOPP to identify files which failures are expected</t>
  </si>
  <si>
    <t>Informative alerts – data content</t>
  </si>
  <si>
    <t>Delay in file load</t>
  </si>
  <si>
    <t>Missing data</t>
  </si>
  <si>
    <t>GS should alert if the processed file has 0 records and 30 day avg is non zero</t>
  </si>
  <si>
    <t>Bad data file</t>
  </si>
  <si>
    <t xml:space="preserve">GS should review file contents if junk </t>
  </si>
  <si>
    <t>Record count</t>
  </si>
  <si>
    <t>Tolerance for day over day record count changes</t>
  </si>
  <si>
    <t>HOOPP to identify which files:</t>
  </si>
  <si>
    <t>Should remain relatively static in record count</t>
  </si>
  <si>
    <t>Which will change</t>
  </si>
  <si>
    <t>Snowflake Publishing:</t>
  </si>
  <si>
    <t>What is the max time frequency for scheduled SF publishing</t>
  </si>
  <si>
    <t>HOOPP expectation is to publish every 15 mins</t>
  </si>
  <si>
    <t>UI save and submit publishing</t>
  </si>
  <si>
    <t>Will this be set up in soft go live?</t>
  </si>
  <si>
    <t>Alert Type</t>
  </si>
  <si>
    <t>Email Subject</t>
  </si>
  <si>
    <t>Action</t>
  </si>
  <si>
    <t>Description</t>
  </si>
  <si>
    <t>OMNI SLO Miss</t>
  </si>
  <si>
    <t>HOOPP:Prod:CRITICAL: OMNI SLO Miss</t>
  </si>
  <si>
    <t xml:space="preserve">Follow steps mentioned in the link </t>
  </si>
  <si>
    <t xml:space="preserve">This alert specifies if a particluar ODS job has not been completed and data for it has not moved to OMNI. </t>
  </si>
  <si>
    <t>OMNI PIPELINE Failure</t>
  </si>
  <si>
    <t>HOOPP:Prod:CRITICAL: OMNI PIPELINE Failure Notice</t>
  </si>
  <si>
    <t>Reach out MS Delivery team</t>
  </si>
  <si>
    <t>This alert specifies if the data ingestion into OMNI has failed and the reason for it. MS Delivery Team needs to be involved immediately once this alert is raised</t>
  </si>
  <si>
    <t>OMNI Data Discrepancy</t>
  </si>
  <si>
    <t>HOOPP:Prod:CRITICAL: OMNI DATASYNC Discrepancy</t>
  </si>
  <si>
    <t>This alert specifies if there is any data discrepancy between ODS and OMNI.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</si>
</sst>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m\-yyyy"/>
    <numFmt numFmtId="165" formatCode="h:mm;@"/>
  </numFmts>
  <fonts count="80">
    <font>
      <sz val="11"/>
      <color theme="1"/>
      <name val="Calibri"/>
      <family val="2"/>
      <scheme val="minor"/>
    </font>
    <font>
      <sz val="11"/>
      <color theme="1"/>
      <name val="Calibri"/>
      <family val="2"/>
      <scheme val="minor"/>
    </font>
    <font>
      <b/>
      <sz val="11"/>
      <color theme="1"/>
      <name val="Calibri"/>
      <family val="2"/>
      <scheme val="minor"/>
    </font>
    <font>
      <sz val="9"/>
      <color theme="1"/>
      <name val="Arial"/>
      <family val="2"/>
    </font>
    <font>
      <i/>
      <sz val="11"/>
      <color theme="4"/>
      <name val="Calibri"/>
      <family val="2"/>
      <scheme val="minor"/>
    </font>
    <font>
      <b/>
      <i/>
      <sz val="11"/>
      <color theme="4"/>
      <name val="Calibri"/>
      <family val="2"/>
      <scheme val="minor"/>
    </font>
    <font>
      <sz val="10"/>
      <color theme="1"/>
      <name val="Calibri"/>
      <family val="2"/>
      <scheme val="minor"/>
    </font>
    <font>
      <b/>
      <sz val="10"/>
      <color theme="1"/>
      <name val="Calibri"/>
      <family val="2"/>
      <scheme val="minor"/>
    </font>
    <font>
      <sz val="11"/>
      <color theme="1"/>
      <name val="Calibri"/>
      <family val="2"/>
    </font>
    <font>
      <u/>
      <sz val="11"/>
      <color theme="10"/>
      <name val="Calibri"/>
      <family val="2"/>
      <scheme val="minor"/>
    </font>
    <font>
      <sz val="10"/>
      <color theme="1"/>
      <name val="Arial Unicode MS"/>
      <family val="2"/>
    </font>
    <font>
      <sz val="8"/>
      <name val="Calibri"/>
      <family val="2"/>
      <scheme val="minor"/>
    </font>
    <font>
      <sz val="10"/>
      <color rgb="FF000000"/>
      <name val="Calibri"/>
      <family val="2"/>
      <scheme val="minor"/>
    </font>
    <font>
      <sz val="10"/>
      <name val="Calibri"/>
      <family val="2"/>
      <scheme val="minor"/>
    </font>
    <font>
      <sz val="11"/>
      <color rgb="FF000000"/>
      <name val="Calibri"/>
      <family val="2"/>
      <scheme val="minor"/>
    </font>
    <font>
      <sz val="11"/>
      <color theme="0"/>
      <name val="Calibri"/>
      <family val="2"/>
      <scheme val="minor"/>
    </font>
    <font>
      <sz val="10"/>
      <color rgb="FFFF0000"/>
      <name val="Calibri"/>
      <family val="2"/>
      <scheme val="minor"/>
    </font>
    <font>
      <sz val="11"/>
      <color rgb="FF000000"/>
      <name val="Calibri"/>
      <family val="2"/>
    </font>
    <font>
      <b/>
      <sz val="11"/>
      <color theme="0"/>
      <name val="Calibri"/>
      <family val="2"/>
      <scheme val="minor"/>
    </font>
    <font>
      <sz val="11"/>
      <color theme="0"/>
      <name val="Calibri"/>
      <family val="2"/>
      <scheme val="minor"/>
    </font>
    <font>
      <i/>
      <sz val="11"/>
      <color rgb="FFBF8F00"/>
      <name val="Calibri"/>
      <family val="2"/>
      <scheme val="minor"/>
    </font>
    <font>
      <strike/>
      <sz val="9"/>
      <color theme="1"/>
      <name val="Arial"/>
      <family val="2"/>
    </font>
    <font>
      <sz val="9"/>
      <color rgb="FFFF0000"/>
      <name val="Arial"/>
      <family val="2"/>
    </font>
    <font>
      <b/>
      <u/>
      <sz val="9"/>
      <color theme="1"/>
      <name val="Arial"/>
      <family val="2"/>
    </font>
    <font>
      <b/>
      <sz val="10"/>
      <color rgb="FF000000"/>
      <name val="Calibri"/>
      <family val="2"/>
      <scheme val="minor"/>
    </font>
    <font>
      <b/>
      <sz val="9"/>
      <color theme="1"/>
      <name val="Arial"/>
      <family val="2"/>
    </font>
    <font>
      <sz val="10"/>
      <color rgb="FF000000"/>
      <name val="Calibri"/>
      <family val="2"/>
    </font>
    <font>
      <b/>
      <sz val="10"/>
      <color theme="1"/>
      <name val="Arial"/>
      <family val="2"/>
    </font>
    <font>
      <b/>
      <sz val="10"/>
      <color rgb="FF000000"/>
      <name val="Calibri"/>
      <family val="2"/>
    </font>
    <font>
      <sz val="9"/>
      <color rgb="FF000000"/>
      <name val="Arial"/>
      <family val="2"/>
    </font>
    <font>
      <sz val="11"/>
      <color theme="1"/>
      <name val="Calibri"/>
      <family val="2"/>
      <charset val="1"/>
    </font>
    <font>
      <sz val="11"/>
      <color rgb="FFFF0000"/>
      <name val="Calibri"/>
      <family val="2"/>
      <scheme val="minor"/>
    </font>
    <font>
      <b/>
      <u/>
      <sz val="11"/>
      <color rgb="FF000000"/>
      <name val="Calibri"/>
      <family val="2"/>
      <scheme val="minor"/>
    </font>
    <font>
      <b/>
      <strike/>
      <u/>
      <sz val="11"/>
      <color theme="1"/>
      <name val="Aptos"/>
      <family val="2"/>
    </font>
    <font>
      <strike/>
      <sz val="11"/>
      <color theme="1"/>
      <name val="Aptos"/>
      <family val="2"/>
    </font>
    <font>
      <u/>
      <sz val="11"/>
      <color rgb="FF0563C1"/>
      <name val="Calibri"/>
      <family val="2"/>
      <scheme val="minor"/>
    </font>
    <font>
      <sz val="11"/>
      <color rgb="FF006100"/>
      <name val="Calibri"/>
      <family val="2"/>
    </font>
    <font>
      <sz val="11"/>
      <color rgb="FF242424"/>
      <name val="Aptos Narrow"/>
      <family val="2"/>
    </font>
    <font>
      <sz val="10"/>
      <color rgb="FF000000"/>
      <name val="Aptos"/>
      <family val="2"/>
    </font>
    <font>
      <sz val="11"/>
      <name val="Calibri"/>
      <family val="2"/>
    </font>
    <font>
      <sz val="11"/>
      <color theme="5"/>
      <name val="Calibri"/>
      <family val="2"/>
      <scheme val="minor"/>
    </font>
    <font>
      <sz val="11"/>
      <name val="Calibri"/>
      <family val="2"/>
      <scheme val="minor"/>
    </font>
    <font>
      <strike/>
      <sz val="11"/>
      <color theme="1"/>
      <name val="Calibri"/>
      <family val="2"/>
      <scheme val="minor"/>
    </font>
    <font>
      <strike/>
      <sz val="11"/>
      <name val="Calibri"/>
      <family val="2"/>
    </font>
    <font>
      <strike/>
      <sz val="11"/>
      <color rgb="FF000000"/>
      <name val="Calibri"/>
      <family val="2"/>
    </font>
    <font>
      <strike/>
      <sz val="11"/>
      <color rgb="FF006100"/>
      <name val="Calibri"/>
      <family val="2"/>
    </font>
    <font>
      <strike/>
      <sz val="11"/>
      <color rgb="FF242424"/>
      <name val="Aptos Narrow"/>
      <family val="2"/>
    </font>
    <font>
      <sz val="9"/>
      <color rgb="FF3D464D"/>
      <name val="Segoe UI"/>
      <family val="2"/>
    </font>
    <font>
      <strike/>
      <sz val="10"/>
      <color theme="1"/>
      <name val="Calibri"/>
      <family val="2"/>
      <scheme val="minor"/>
    </font>
    <font>
      <strike/>
      <sz val="10"/>
      <color rgb="FF000000"/>
      <name val="Calibri"/>
      <family val="2"/>
      <scheme val="minor"/>
    </font>
    <font>
      <strike/>
      <sz val="10"/>
      <name val="Calibri"/>
      <family val="2"/>
      <scheme val="minor"/>
    </font>
    <font>
      <strike/>
      <sz val="10"/>
      <color rgb="FFFF0000"/>
      <name val="Calibri"/>
      <family val="2"/>
      <scheme val="minor"/>
    </font>
    <font>
      <strike/>
      <sz val="11"/>
      <color rgb="FF000000"/>
      <name val="Calibri"/>
      <family val="2"/>
      <scheme val="minor"/>
    </font>
    <font>
      <b/>
      <strike/>
      <sz val="10"/>
      <color theme="1"/>
      <name val="Calibri"/>
      <family val="2"/>
      <scheme val="minor"/>
    </font>
    <font>
      <b/>
      <strike/>
      <sz val="10"/>
      <color rgb="FF000000"/>
      <name val="Calibri"/>
      <family val="2"/>
    </font>
    <font>
      <b/>
      <sz val="10.5"/>
      <color rgb="FF333333"/>
      <name val="Arial"/>
      <family val="2"/>
    </font>
    <font>
      <b/>
      <sz val="10.5"/>
      <color theme="0"/>
      <name val="Arial"/>
      <family val="2"/>
    </font>
    <font>
      <sz val="10.5"/>
      <color rgb="FF333333"/>
      <name val="Arial"/>
      <family val="2"/>
    </font>
    <font>
      <sz val="8"/>
      <color rgb="FF333333"/>
      <name val="Arial"/>
      <family val="2"/>
    </font>
    <font>
      <sz val="10"/>
      <color rgb="FF4F5051"/>
      <name val="Open Sans"/>
      <family val="2"/>
    </font>
    <font>
      <b/>
      <sz val="11"/>
      <color rgb="FF000000"/>
      <name val="Calibri"/>
      <family val="2"/>
      <scheme val="minor"/>
    </font>
    <font>
      <b/>
      <sz val="11"/>
      <color rgb="FFFF0000"/>
      <name val="Calibri"/>
      <family val="2"/>
      <scheme val="minor"/>
    </font>
    <font>
      <b/>
      <sz val="9"/>
      <color theme="1"/>
      <name val="Arial"/>
      <family val="2"/>
    </font>
    <font>
      <b/>
      <strike/>
      <sz val="10"/>
      <color rgb="FF000000"/>
      <name val="Calibri"/>
    </font>
    <font>
      <b/>
      <sz val="10"/>
      <color rgb="FF000000"/>
      <name val="Calibri"/>
    </font>
    <font>
      <b/>
      <sz val="11"/>
      <color rgb="FF000000"/>
      <name val="Calibri"/>
      <family val="2"/>
    </font>
    <font>
      <b/>
      <sz val="9"/>
      <color rgb="FF2E3E4E"/>
      <name val="Open Sans"/>
      <family val="2"/>
    </font>
    <font>
      <sz val="9"/>
      <color rgb="FF2E3E4E"/>
      <name val="Open Sans"/>
      <family val="2"/>
    </font>
    <font>
      <strike/>
      <sz val="10"/>
      <color rgb="FF000000"/>
      <name val="Calibri"/>
      <scheme val="minor"/>
    </font>
    <font>
      <sz val="10"/>
      <color rgb="FF000000"/>
      <name val="Calibri"/>
      <scheme val="minor"/>
    </font>
    <font>
      <sz val="9"/>
      <color rgb="FF3D464D"/>
      <name val="Calibri"/>
      <scheme val="minor"/>
    </font>
    <font>
      <sz val="10"/>
      <color rgb="FF000000"/>
      <name val="Aptos"/>
    </font>
    <font>
      <b/>
      <strike/>
      <sz val="10"/>
      <color rgb="FF000000"/>
      <name val="Calibri"/>
      <scheme val="minor"/>
    </font>
    <font>
      <b/>
      <sz val="10"/>
      <color rgb="FF000000"/>
      <name val="Calibri"/>
      <scheme val="minor"/>
    </font>
    <font>
      <sz val="11"/>
      <color rgb="FF242424"/>
      <name val="Aptos Narrow"/>
      <charset val="1"/>
    </font>
    <font>
      <sz val="10"/>
      <color rgb="FF000000"/>
      <name val="Calibri"/>
    </font>
    <font>
      <strike/>
      <sz val="10"/>
      <color rgb="FF000000"/>
      <name val="Calibri"/>
    </font>
    <font>
      <strike/>
      <sz val="10"/>
      <color rgb="FF000000"/>
      <name val="Calibri"/>
      <family val="2"/>
    </font>
    <font>
      <b/>
      <strike/>
      <sz val="11"/>
      <color theme="1"/>
      <name val="Calibri"/>
      <family val="2"/>
      <scheme val="minor"/>
    </font>
    <font>
      <b/>
      <strike/>
      <sz val="10"/>
      <color rgb="FF000000"/>
      <name val="Calibri"/>
      <family val="2"/>
      <scheme val="minor"/>
    </font>
  </fonts>
  <fills count="46">
    <fill>
      <patternFill patternType="none"/>
    </fill>
    <fill>
      <patternFill patternType="gray125"/>
    </fill>
    <fill>
      <patternFill patternType="solid">
        <fgColor theme="9" tint="0.39997558519241921"/>
        <bgColor indexed="64"/>
      </patternFill>
    </fill>
    <fill>
      <patternFill patternType="solid">
        <fgColor theme="3" tint="0.59999389629810485"/>
        <bgColor indexed="64"/>
      </patternFill>
    </fill>
    <fill>
      <patternFill patternType="solid">
        <fgColor theme="2" tint="-0.249977111117893"/>
        <bgColor indexed="64"/>
      </patternFill>
    </fill>
    <fill>
      <patternFill patternType="solid">
        <fgColor rgb="FFFFFFFF"/>
        <bgColor rgb="FF000000"/>
      </patternFill>
    </fill>
    <fill>
      <patternFill patternType="solid">
        <fgColor rgb="FFFFFF00"/>
        <bgColor indexed="64"/>
      </patternFill>
    </fill>
    <fill>
      <patternFill patternType="solid">
        <fgColor theme="4"/>
      </patternFill>
    </fill>
    <fill>
      <patternFill patternType="solid">
        <fgColor theme="9"/>
      </patternFill>
    </fill>
    <fill>
      <patternFill patternType="solid">
        <fgColor theme="0" tint="-4.9989318521683403E-2"/>
        <bgColor indexed="64"/>
      </patternFill>
    </fill>
    <fill>
      <patternFill patternType="solid">
        <fgColor theme="4" tint="0.59999389629810485"/>
        <bgColor indexed="64"/>
      </patternFill>
    </fill>
    <fill>
      <patternFill patternType="solid">
        <fgColor rgb="FF00B050"/>
        <bgColor indexed="64"/>
      </patternFill>
    </fill>
    <fill>
      <patternFill patternType="solid">
        <fgColor theme="9" tint="0.59999389629810485"/>
        <bgColor indexed="64"/>
      </patternFill>
    </fill>
    <fill>
      <patternFill patternType="solid">
        <fgColor rgb="FFC6E0B4"/>
        <bgColor rgb="FF000000"/>
      </patternFill>
    </fill>
    <fill>
      <patternFill patternType="solid">
        <fgColor theme="0" tint="-0.34998626667073579"/>
        <bgColor indexed="64"/>
      </patternFill>
    </fill>
    <fill>
      <patternFill patternType="solid">
        <fgColor rgb="FFC6EFCE"/>
        <bgColor rgb="FF000000"/>
      </patternFill>
    </fill>
    <fill>
      <patternFill patternType="solid">
        <fgColor rgb="FFFFFF00"/>
        <bgColor rgb="FF000000"/>
      </patternFill>
    </fill>
    <fill>
      <patternFill patternType="solid">
        <fgColor rgb="FF00B050"/>
        <bgColor rgb="FF000000"/>
      </patternFill>
    </fill>
    <fill>
      <patternFill patternType="solid">
        <fgColor theme="7"/>
        <bgColor indexed="64"/>
      </patternFill>
    </fill>
    <fill>
      <patternFill patternType="solid">
        <fgColor rgb="FF9999FF"/>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FF9999"/>
        <bgColor indexed="64"/>
      </patternFill>
    </fill>
    <fill>
      <patternFill patternType="solid">
        <fgColor rgb="FFFF9999"/>
        <bgColor rgb="FF000000"/>
      </patternFill>
    </fill>
    <fill>
      <patternFill patternType="solid">
        <fgColor rgb="FF009999"/>
        <bgColor indexed="64"/>
      </patternFill>
    </fill>
    <fill>
      <patternFill patternType="solid">
        <fgColor rgb="FFFF99CC"/>
        <bgColor indexed="64"/>
      </patternFill>
    </fill>
    <fill>
      <patternFill patternType="solid">
        <fgColor theme="7" tint="-0.249977111117893"/>
        <bgColor indexed="64"/>
      </patternFill>
    </fill>
    <fill>
      <patternFill patternType="solid">
        <fgColor rgb="FFF5F5F5"/>
        <bgColor indexed="64"/>
      </patternFill>
    </fill>
    <fill>
      <patternFill patternType="solid">
        <fgColor theme="4" tint="-0.249977111117893"/>
        <bgColor indexed="64"/>
      </patternFill>
    </fill>
    <fill>
      <patternFill patternType="solid">
        <fgColor rgb="FFFFFFFF"/>
        <bgColor indexed="64"/>
      </patternFill>
    </fill>
    <fill>
      <patternFill patternType="solid">
        <fgColor theme="7" tint="0.39997558519241921"/>
        <bgColor indexed="64"/>
      </patternFill>
    </fill>
    <fill>
      <patternFill patternType="solid">
        <fgColor theme="0"/>
        <bgColor indexed="64"/>
      </patternFill>
    </fill>
    <fill>
      <patternFill patternType="solid">
        <fgColor theme="8" tint="0.79998168889431442"/>
        <bgColor rgb="FF000000"/>
      </patternFill>
    </fill>
    <fill>
      <patternFill patternType="solid">
        <fgColor rgb="FFFFCC66"/>
        <bgColor indexed="64"/>
      </patternFill>
    </fill>
    <fill>
      <patternFill patternType="solid">
        <fgColor rgb="FFE2EFDA"/>
        <bgColor rgb="FF000000"/>
      </patternFill>
    </fill>
    <fill>
      <patternFill patternType="solid">
        <fgColor rgb="FFFFCC66"/>
        <bgColor rgb="FF000000"/>
      </patternFill>
    </fill>
    <fill>
      <patternFill patternType="solid">
        <fgColor rgb="FF9999FF"/>
        <bgColor rgb="FF000000"/>
      </patternFill>
    </fill>
    <fill>
      <patternFill patternType="solid">
        <fgColor rgb="FF009999"/>
        <bgColor rgb="FF000000"/>
      </patternFill>
    </fill>
    <fill>
      <patternFill patternType="solid">
        <fgColor rgb="FFFF99CC"/>
        <bgColor rgb="FF000000"/>
      </patternFill>
    </fill>
    <fill>
      <patternFill patternType="solid">
        <fgColor rgb="FFBF8F00"/>
        <bgColor rgb="FF000000"/>
      </patternFill>
    </fill>
    <fill>
      <patternFill patternType="solid">
        <fgColor rgb="FFCCCCFF"/>
        <bgColor indexed="64"/>
      </patternFill>
    </fill>
    <fill>
      <patternFill patternType="solid">
        <fgColor rgb="FFFFCCFF"/>
        <bgColor indexed="64"/>
      </patternFill>
    </fill>
  </fills>
  <borders count="3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right style="thin">
        <color indexed="64"/>
      </right>
      <top/>
      <bottom style="thin">
        <color indexed="64"/>
      </bottom>
      <diagonal/>
    </border>
    <border>
      <left/>
      <right/>
      <top style="thin">
        <color indexed="64"/>
      </top>
      <bottom/>
      <diagonal/>
    </border>
    <border>
      <left style="thin">
        <color rgb="FF000000"/>
      </left>
      <right style="thin">
        <color rgb="FF000000"/>
      </right>
      <top style="thin">
        <color rgb="FF000000"/>
      </top>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style="thin">
        <color indexed="64"/>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top/>
      <bottom/>
      <diagonal/>
    </border>
    <border>
      <left style="thin">
        <color rgb="FF000000"/>
      </left>
      <right style="thin">
        <color rgb="FF000000"/>
      </right>
      <top style="thin">
        <color indexed="64"/>
      </top>
      <bottom style="thin">
        <color indexed="64"/>
      </bottom>
      <diagonal/>
    </border>
    <border>
      <left style="thin">
        <color rgb="FF000000"/>
      </left>
      <right style="thin">
        <color indexed="64"/>
      </right>
      <top style="thin">
        <color indexed="64"/>
      </top>
      <bottom style="thin">
        <color indexed="64"/>
      </bottom>
      <diagonal/>
    </border>
    <border>
      <left style="medium">
        <color rgb="FFCCCCCC"/>
      </left>
      <right style="medium">
        <color rgb="FFCCCCCC"/>
      </right>
      <top style="medium">
        <color rgb="FFCCCCCC"/>
      </top>
      <bottom/>
      <diagonal/>
    </border>
    <border>
      <left/>
      <right style="medium">
        <color rgb="FFCCCCCC"/>
      </right>
      <top style="medium">
        <color rgb="FFCCCCCC"/>
      </top>
      <bottom/>
      <diagonal/>
    </border>
    <border>
      <left/>
      <right style="medium">
        <color rgb="FFCCCCCC"/>
      </right>
      <top/>
      <bottom/>
      <diagonal/>
    </border>
    <border>
      <left style="thin">
        <color indexed="64"/>
      </left>
      <right style="thin">
        <color indexed="64"/>
      </right>
      <top style="thin">
        <color indexed="64"/>
      </top>
      <bottom style="thin">
        <color rgb="FF000000"/>
      </bottom>
      <diagonal/>
    </border>
    <border>
      <left/>
      <right/>
      <top/>
      <bottom style="thin">
        <color rgb="FFE2E7E8"/>
      </bottom>
      <diagonal/>
    </border>
    <border>
      <left style="thin">
        <color rgb="FF000000"/>
      </left>
      <right style="thin">
        <color rgb="FF000000"/>
      </right>
      <top/>
      <bottom/>
      <diagonal/>
    </border>
    <border>
      <left/>
      <right/>
      <top/>
      <bottom style="thin">
        <color rgb="FF000000"/>
      </bottom>
      <diagonal/>
    </border>
    <border>
      <left style="thin">
        <color rgb="FF000000"/>
      </left>
      <right/>
      <top style="thin">
        <color indexed="64"/>
      </top>
      <bottom/>
      <diagonal/>
    </border>
    <border>
      <left/>
      <right style="thin">
        <color rgb="FF000000"/>
      </right>
      <top/>
      <bottom/>
      <diagonal/>
    </border>
    <border>
      <left/>
      <right/>
      <top/>
      <bottom style="thin">
        <color indexed="64"/>
      </bottom>
      <diagonal/>
    </border>
    <border>
      <left style="thin">
        <color rgb="FF000000"/>
      </left>
      <right/>
      <top/>
      <bottom style="thin">
        <color rgb="FF000000"/>
      </bottom>
      <diagonal/>
    </border>
    <border>
      <left style="thin">
        <color rgb="FF000000"/>
      </left>
      <right/>
      <top style="thin">
        <color rgb="FF000000"/>
      </top>
      <bottom/>
      <diagonal/>
    </border>
  </borders>
  <cellStyleXfs count="4">
    <xf numFmtId="0" fontId="0" fillId="0" borderId="0"/>
    <xf numFmtId="0" fontId="9" fillId="0" borderId="0" applyNumberFormat="0" applyFill="0" applyBorder="0" applyAlignment="0" applyProtection="0"/>
    <xf numFmtId="0" fontId="15" fillId="7" borderId="0" applyNumberFormat="0" applyBorder="0" applyAlignment="0" applyProtection="0"/>
    <xf numFmtId="0" fontId="19" fillId="8" borderId="0" applyNumberFormat="0" applyBorder="0" applyAlignment="0" applyProtection="0"/>
  </cellStyleXfs>
  <cellXfs count="1184">
    <xf numFmtId="0" fontId="0" fillId="0" borderId="0" xfId="0"/>
    <xf numFmtId="0" fontId="0" fillId="0" borderId="1" xfId="0" applyBorder="1"/>
    <xf numFmtId="0" fontId="2" fillId="0" borderId="1" xfId="0" applyFont="1" applyBorder="1"/>
    <xf numFmtId="0" fontId="2" fillId="0" borderId="0" xfId="0" applyFont="1" applyAlignment="1">
      <alignment horizontal="left"/>
    </xf>
    <xf numFmtId="164" fontId="0" fillId="0" borderId="1" xfId="0" applyNumberFormat="1" applyBorder="1" applyAlignment="1">
      <alignment horizontal="left" vertical="center"/>
    </xf>
    <xf numFmtId="0" fontId="0" fillId="0" borderId="1" xfId="0" applyBorder="1" applyAlignment="1">
      <alignment horizontal="center" vertical="center"/>
    </xf>
    <xf numFmtId="0" fontId="2" fillId="3" borderId="1" xfId="0" applyFont="1" applyFill="1" applyBorder="1" applyAlignment="1">
      <alignment horizontal="center" vertical="center"/>
    </xf>
    <xf numFmtId="0" fontId="2" fillId="3" borderId="1" xfId="0" applyFont="1" applyFill="1" applyBorder="1" applyAlignment="1">
      <alignment horizontal="center" vertical="center" wrapText="1"/>
    </xf>
    <xf numFmtId="0" fontId="0" fillId="0" borderId="1" xfId="0" applyBorder="1" applyAlignment="1">
      <alignment wrapText="1"/>
    </xf>
    <xf numFmtId="0" fontId="9" fillId="0" borderId="1" xfId="1" applyBorder="1"/>
    <xf numFmtId="0" fontId="7" fillId="4" borderId="1" xfId="0" applyFont="1" applyFill="1" applyBorder="1" applyAlignment="1">
      <alignment horizontal="left" vertical="top" wrapText="1"/>
    </xf>
    <xf numFmtId="0" fontId="7" fillId="4" borderId="1" xfId="0" applyFont="1" applyFill="1" applyBorder="1" applyAlignment="1">
      <alignment horizontal="left" vertical="top"/>
    </xf>
    <xf numFmtId="0" fontId="7" fillId="4" borderId="1" xfId="0" applyFont="1" applyFill="1" applyBorder="1" applyAlignment="1">
      <alignment vertical="top"/>
    </xf>
    <xf numFmtId="0" fontId="7" fillId="4" borderId="1" xfId="0" applyFont="1" applyFill="1" applyBorder="1" applyAlignment="1">
      <alignment vertical="top" wrapText="1"/>
    </xf>
    <xf numFmtId="0" fontId="7" fillId="0" borderId="1" xfId="0" applyFont="1" applyBorder="1" applyAlignment="1">
      <alignment horizontal="left" vertical="top"/>
    </xf>
    <xf numFmtId="0" fontId="7" fillId="0" borderId="1" xfId="0" applyFont="1" applyBorder="1" applyAlignment="1">
      <alignment horizontal="left" vertical="top" wrapText="1"/>
    </xf>
    <xf numFmtId="0" fontId="0" fillId="0" borderId="0" xfId="0" applyAlignment="1">
      <alignment horizontal="left" vertical="top"/>
    </xf>
    <xf numFmtId="0" fontId="3" fillId="0" borderId="0" xfId="0" applyFont="1" applyAlignment="1">
      <alignment horizontal="left" vertical="top"/>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6" fillId="0" borderId="1" xfId="0" applyFont="1" applyBorder="1" applyAlignment="1">
      <alignment vertical="top"/>
    </xf>
    <xf numFmtId="0" fontId="6" fillId="0" borderId="1" xfId="0" applyFont="1" applyBorder="1" applyAlignment="1">
      <alignment vertical="top" wrapText="1"/>
    </xf>
    <xf numFmtId="18" fontId="6" fillId="0" borderId="1" xfId="0" applyNumberFormat="1" applyFont="1" applyBorder="1" applyAlignment="1">
      <alignment vertical="top" wrapText="1"/>
    </xf>
    <xf numFmtId="0" fontId="10" fillId="0" borderId="1" xfId="0" applyFont="1" applyBorder="1" applyAlignment="1">
      <alignment vertical="top"/>
    </xf>
    <xf numFmtId="0" fontId="3" fillId="0" borderId="0" xfId="0" applyFont="1" applyAlignment="1">
      <alignment horizontal="left" vertical="top" wrapText="1"/>
    </xf>
    <xf numFmtId="0" fontId="0" fillId="0" borderId="1" xfId="0" applyBorder="1" applyAlignment="1">
      <alignment vertical="top" wrapText="1"/>
    </xf>
    <xf numFmtId="0" fontId="0" fillId="0" borderId="1" xfId="0" applyBorder="1" applyAlignment="1">
      <alignment vertical="top"/>
    </xf>
    <xf numFmtId="18" fontId="6" fillId="0" borderId="1" xfId="0" applyNumberFormat="1" applyFont="1" applyBorder="1" applyAlignment="1">
      <alignment horizontal="left" vertical="top" wrapText="1"/>
    </xf>
    <xf numFmtId="0" fontId="10" fillId="0" borderId="1" xfId="0" applyFont="1" applyBorder="1" applyAlignment="1">
      <alignment horizontal="left" vertical="top"/>
    </xf>
    <xf numFmtId="0" fontId="13" fillId="0" borderId="8" xfId="0" applyFont="1" applyBorder="1" applyAlignment="1">
      <alignment horizontal="left" vertical="top" wrapText="1"/>
    </xf>
    <xf numFmtId="0" fontId="12" fillId="0" borderId="8" xfId="0" applyFont="1" applyBorder="1" applyAlignment="1">
      <alignment horizontal="left" vertical="top"/>
    </xf>
    <xf numFmtId="14" fontId="0" fillId="0" borderId="1" xfId="0" applyNumberFormat="1" applyBorder="1" applyAlignment="1">
      <alignment wrapText="1"/>
    </xf>
    <xf numFmtId="14" fontId="0" fillId="0" borderId="1" xfId="0" applyNumberFormat="1" applyBorder="1"/>
    <xf numFmtId="0" fontId="6" fillId="0" borderId="8" xfId="0" applyFont="1" applyBorder="1" applyAlignment="1">
      <alignment horizontal="left" vertical="top"/>
    </xf>
    <xf numFmtId="0" fontId="15" fillId="7" borderId="1" xfId="2" applyBorder="1" applyAlignment="1">
      <alignment wrapText="1"/>
    </xf>
    <xf numFmtId="0" fontId="15" fillId="7" borderId="1" xfId="2" applyBorder="1"/>
    <xf numFmtId="0" fontId="12" fillId="0" borderId="9" xfId="0" applyFont="1" applyBorder="1" applyAlignment="1">
      <alignment horizontal="left" vertical="top"/>
    </xf>
    <xf numFmtId="0" fontId="12" fillId="0" borderId="8" xfId="0" applyFont="1" applyBorder="1"/>
    <xf numFmtId="0" fontId="13" fillId="0" borderId="8" xfId="0" applyFont="1" applyBorder="1" applyAlignment="1">
      <alignment vertical="center" wrapText="1"/>
    </xf>
    <xf numFmtId="0" fontId="16" fillId="0" borderId="8" xfId="0" applyFont="1" applyBorder="1" applyAlignment="1">
      <alignment horizontal="left" vertical="top" wrapText="1"/>
    </xf>
    <xf numFmtId="0" fontId="12" fillId="0" borderId="1" xfId="0" applyFont="1" applyBorder="1" applyAlignment="1">
      <alignment wrapText="1"/>
    </xf>
    <xf numFmtId="14" fontId="0" fillId="0" borderId="2" xfId="0" applyNumberFormat="1" applyBorder="1"/>
    <xf numFmtId="0" fontId="0" fillId="0" borderId="2" xfId="0" applyBorder="1" applyAlignment="1">
      <alignment wrapText="1"/>
    </xf>
    <xf numFmtId="0" fontId="0" fillId="0" borderId="2" xfId="0" applyBorder="1"/>
    <xf numFmtId="0" fontId="17" fillId="0" borderId="1" xfId="0" applyFont="1" applyBorder="1"/>
    <xf numFmtId="0" fontId="0" fillId="0" borderId="1" xfId="0" applyBorder="1" applyAlignment="1">
      <alignment horizontal="left" vertical="top"/>
    </xf>
    <xf numFmtId="0" fontId="2" fillId="0" borderId="1" xfId="0" applyFont="1" applyBorder="1" applyAlignment="1">
      <alignment wrapText="1"/>
    </xf>
    <xf numFmtId="0" fontId="0" fillId="0" borderId="0" xfId="0" applyAlignment="1">
      <alignment wrapText="1"/>
    </xf>
    <xf numFmtId="0" fontId="0" fillId="0" borderId="8" xfId="0" applyBorder="1"/>
    <xf numFmtId="0" fontId="17" fillId="0" borderId="8" xfId="0" applyFont="1" applyBorder="1"/>
    <xf numFmtId="0" fontId="18" fillId="8" borderId="8" xfId="3" applyFont="1" applyBorder="1"/>
    <xf numFmtId="0" fontId="15" fillId="7" borderId="8" xfId="2" applyBorder="1"/>
    <xf numFmtId="0" fontId="6" fillId="0" borderId="2" xfId="0" applyFont="1" applyBorder="1" applyAlignment="1">
      <alignment vertical="top"/>
    </xf>
    <xf numFmtId="18" fontId="6" fillId="0" borderId="1" xfId="0" applyNumberFormat="1" applyFont="1" applyBorder="1" applyAlignment="1">
      <alignment vertical="top"/>
    </xf>
    <xf numFmtId="0" fontId="7" fillId="0" borderId="6" xfId="0" applyFont="1" applyBorder="1" applyAlignment="1">
      <alignment horizontal="left" vertical="top"/>
    </xf>
    <xf numFmtId="0" fontId="21" fillId="0" borderId="0" xfId="0" applyFont="1" applyAlignment="1">
      <alignment horizontal="left" vertical="top"/>
    </xf>
    <xf numFmtId="0" fontId="3" fillId="9" borderId="0" xfId="0" applyFont="1" applyFill="1" applyAlignment="1">
      <alignment horizontal="left" vertical="top"/>
    </xf>
    <xf numFmtId="0" fontId="7" fillId="6" borderId="6" xfId="0" applyFont="1" applyFill="1" applyBorder="1" applyAlignment="1">
      <alignment horizontal="left" vertical="top" wrapText="1"/>
    </xf>
    <xf numFmtId="165" fontId="7" fillId="0" borderId="1" xfId="0" applyNumberFormat="1" applyFont="1" applyBorder="1" applyAlignment="1">
      <alignment horizontal="left" vertical="top" wrapText="1"/>
    </xf>
    <xf numFmtId="165" fontId="6" fillId="0" borderId="1" xfId="0" applyNumberFormat="1" applyFont="1" applyBorder="1" applyAlignment="1">
      <alignment horizontal="center" vertical="top"/>
    </xf>
    <xf numFmtId="165" fontId="6" fillId="6" borderId="1" xfId="0" applyNumberFormat="1" applyFont="1" applyFill="1" applyBorder="1" applyAlignment="1">
      <alignment horizontal="center" vertical="top"/>
    </xf>
    <xf numFmtId="165" fontId="6" fillId="0" borderId="1" xfId="0" applyNumberFormat="1" applyFont="1" applyBorder="1" applyAlignment="1">
      <alignment horizontal="center" vertical="top" wrapText="1"/>
    </xf>
    <xf numFmtId="165" fontId="3" fillId="0" borderId="0" xfId="0" applyNumberFormat="1" applyFont="1" applyAlignment="1">
      <alignment horizontal="left" vertical="top" wrapText="1"/>
    </xf>
    <xf numFmtId="0" fontId="6" fillId="0" borderId="8" xfId="0" applyFont="1" applyBorder="1" applyAlignment="1">
      <alignment vertical="top"/>
    </xf>
    <xf numFmtId="0" fontId="7" fillId="0" borderId="8" xfId="0" applyFont="1" applyBorder="1" applyAlignment="1">
      <alignment vertical="top" wrapText="1"/>
    </xf>
    <xf numFmtId="0" fontId="6" fillId="0" borderId="8" xfId="0" applyFont="1" applyBorder="1" applyAlignment="1">
      <alignment vertical="top" wrapText="1"/>
    </xf>
    <xf numFmtId="0" fontId="12" fillId="0" borderId="1" xfId="0" applyFont="1" applyBorder="1" applyAlignment="1">
      <alignment horizontal="left" vertical="top"/>
    </xf>
    <xf numFmtId="0" fontId="12" fillId="0" borderId="1" xfId="0" applyFont="1" applyBorder="1"/>
    <xf numFmtId="0" fontId="6" fillId="0" borderId="8" xfId="0" applyFont="1" applyBorder="1" applyAlignment="1">
      <alignment horizontal="left" vertical="top" wrapText="1"/>
    </xf>
    <xf numFmtId="0" fontId="13" fillId="0" borderId="1" xfId="0" applyFont="1" applyBorder="1" applyAlignment="1">
      <alignment horizontal="left" vertical="top" wrapText="1"/>
    </xf>
    <xf numFmtId="165" fontId="6" fillId="0" borderId="4" xfId="0" applyNumberFormat="1" applyFont="1" applyBorder="1" applyAlignment="1">
      <alignment horizontal="center" vertical="top" wrapText="1"/>
    </xf>
    <xf numFmtId="0" fontId="16" fillId="0" borderId="1" xfId="0" applyFont="1" applyBorder="1" applyAlignment="1">
      <alignment horizontal="left" vertical="top" wrapText="1"/>
    </xf>
    <xf numFmtId="18" fontId="6" fillId="0" borderId="3" xfId="0" applyNumberFormat="1" applyFont="1" applyBorder="1" applyAlignment="1">
      <alignment vertical="top" wrapText="1"/>
    </xf>
    <xf numFmtId="18" fontId="6" fillId="0" borderId="8" xfId="0" applyNumberFormat="1" applyFont="1" applyBorder="1" applyAlignment="1">
      <alignment vertical="top" wrapText="1"/>
    </xf>
    <xf numFmtId="0" fontId="10" fillId="0" borderId="3" xfId="0" applyFont="1" applyBorder="1" applyAlignment="1">
      <alignment vertical="top"/>
    </xf>
    <xf numFmtId="18" fontId="6" fillId="6" borderId="1" xfId="0" applyNumberFormat="1" applyFont="1" applyFill="1" applyBorder="1" applyAlignment="1">
      <alignment vertical="top" wrapText="1"/>
    </xf>
    <xf numFmtId="0" fontId="6" fillId="0" borderId="9" xfId="0" applyFont="1" applyBorder="1" applyAlignment="1">
      <alignment vertical="top" wrapText="1"/>
    </xf>
    <xf numFmtId="0" fontId="6" fillId="0" borderId="10" xfId="0" applyFont="1" applyBorder="1" applyAlignment="1">
      <alignment vertical="top" wrapText="1"/>
    </xf>
    <xf numFmtId="0" fontId="13" fillId="0" borderId="1" xfId="0" applyFont="1" applyBorder="1" applyAlignment="1">
      <alignment vertical="center" wrapText="1"/>
    </xf>
    <xf numFmtId="0" fontId="7" fillId="0" borderId="8" xfId="0" applyFont="1" applyBorder="1" applyAlignment="1">
      <alignment vertical="top"/>
    </xf>
    <xf numFmtId="0" fontId="7" fillId="0" borderId="8" xfId="0" applyFont="1" applyBorder="1" applyAlignment="1">
      <alignment horizontal="left" vertical="top"/>
    </xf>
    <xf numFmtId="0" fontId="7" fillId="0" borderId="8" xfId="0" applyFont="1" applyBorder="1" applyAlignment="1">
      <alignment horizontal="left" vertical="top" wrapText="1"/>
    </xf>
    <xf numFmtId="0" fontId="7" fillId="6" borderId="8" xfId="0" applyFont="1" applyFill="1" applyBorder="1" applyAlignment="1">
      <alignment vertical="top"/>
    </xf>
    <xf numFmtId="18" fontId="7" fillId="0" borderId="8" xfId="0" applyNumberFormat="1" applyFont="1" applyBorder="1" applyAlignment="1">
      <alignment vertical="top" wrapText="1"/>
    </xf>
    <xf numFmtId="0" fontId="7" fillId="0" borderId="9" xfId="0" applyFont="1" applyBorder="1" applyAlignment="1">
      <alignment vertical="top" wrapText="1"/>
    </xf>
    <xf numFmtId="0" fontId="7" fillId="6" borderId="9" xfId="0" applyFont="1" applyFill="1" applyBorder="1" applyAlignment="1">
      <alignment horizontal="left" vertical="top" wrapText="1"/>
    </xf>
    <xf numFmtId="0" fontId="2" fillId="6" borderId="1" xfId="0" applyFont="1" applyFill="1" applyBorder="1" applyAlignment="1">
      <alignment horizontal="left" vertical="top"/>
    </xf>
    <xf numFmtId="0" fontId="24" fillId="0" borderId="1" xfId="0" applyFont="1" applyBorder="1" applyAlignment="1">
      <alignment wrapText="1"/>
    </xf>
    <xf numFmtId="0" fontId="25" fillId="0" borderId="0" xfId="0" applyFont="1" applyAlignment="1">
      <alignment horizontal="left" vertical="top"/>
    </xf>
    <xf numFmtId="0" fontId="7" fillId="10" borderId="8" xfId="0" applyFont="1" applyFill="1" applyBorder="1" applyAlignment="1">
      <alignment horizontal="left" vertical="top" wrapText="1"/>
    </xf>
    <xf numFmtId="0" fontId="0" fillId="6" borderId="1" xfId="0" applyFill="1" applyBorder="1" applyAlignment="1">
      <alignment horizontal="left" vertical="top"/>
    </xf>
    <xf numFmtId="0" fontId="6" fillId="0" borderId="1" xfId="0" applyFont="1" applyBorder="1" applyAlignment="1">
      <alignment horizontal="center" vertical="top"/>
    </xf>
    <xf numFmtId="0" fontId="6" fillId="0" borderId="1" xfId="0" applyFont="1" applyBorder="1" applyAlignment="1">
      <alignment horizontal="center" vertical="top" wrapText="1"/>
    </xf>
    <xf numFmtId="0" fontId="7" fillId="0" borderId="8" xfId="0" applyFont="1" applyBorder="1" applyAlignment="1">
      <alignment horizontal="center" vertical="top" wrapText="1"/>
    </xf>
    <xf numFmtId="0" fontId="7" fillId="0" borderId="8" xfId="0" applyFont="1" applyBorder="1" applyAlignment="1">
      <alignment horizontal="center" vertical="top"/>
    </xf>
    <xf numFmtId="0" fontId="6" fillId="0" borderId="8" xfId="0" applyFont="1" applyBorder="1" applyAlignment="1">
      <alignment horizontal="center" vertical="top"/>
    </xf>
    <xf numFmtId="0" fontId="23" fillId="0" borderId="0" xfId="0" applyFont="1" applyAlignment="1">
      <alignment horizontal="center" vertical="top"/>
    </xf>
    <xf numFmtId="0" fontId="3" fillId="0" borderId="0" xfId="0" applyFont="1" applyAlignment="1">
      <alignment horizontal="center" vertical="top"/>
    </xf>
    <xf numFmtId="0" fontId="22" fillId="6" borderId="0" xfId="0" applyFont="1" applyFill="1" applyAlignment="1">
      <alignment horizontal="center" vertical="top"/>
    </xf>
    <xf numFmtId="165" fontId="6" fillId="0" borderId="8" xfId="0" applyNumberFormat="1" applyFont="1" applyBorder="1" applyAlignment="1">
      <alignment horizontal="center" vertical="top"/>
    </xf>
    <xf numFmtId="0" fontId="26" fillId="0" borderId="8" xfId="0" applyFont="1" applyBorder="1"/>
    <xf numFmtId="18" fontId="6" fillId="0" borderId="14" xfId="0" applyNumberFormat="1" applyFont="1" applyBorder="1" applyAlignment="1">
      <alignment vertical="top" wrapText="1"/>
    </xf>
    <xf numFmtId="18" fontId="6" fillId="0" borderId="5" xfId="0" applyNumberFormat="1" applyFont="1" applyBorder="1" applyAlignment="1">
      <alignment vertical="top" wrapText="1"/>
    </xf>
    <xf numFmtId="0" fontId="6" fillId="0" borderId="5" xfId="0" applyFont="1" applyBorder="1" applyAlignment="1">
      <alignment vertical="top" wrapText="1"/>
    </xf>
    <xf numFmtId="18" fontId="7" fillId="0" borderId="5" xfId="0" applyNumberFormat="1" applyFont="1" applyBorder="1" applyAlignment="1">
      <alignment vertical="top" wrapText="1"/>
    </xf>
    <xf numFmtId="0" fontId="6" fillId="0" borderId="5" xfId="0" applyFont="1" applyBorder="1" applyAlignment="1">
      <alignment vertical="top"/>
    </xf>
    <xf numFmtId="0" fontId="3" fillId="0" borderId="0" xfId="0" applyFont="1" applyAlignment="1">
      <alignment horizontal="center" vertical="top" wrapText="1"/>
    </xf>
    <xf numFmtId="0" fontId="27" fillId="0" borderId="0" xfId="0" applyFont="1" applyAlignment="1">
      <alignment horizontal="left" vertical="top"/>
    </xf>
    <xf numFmtId="0" fontId="6" fillId="6" borderId="8" xfId="0" applyFont="1" applyFill="1" applyBorder="1" applyAlignment="1">
      <alignment vertical="top" wrapText="1"/>
    </xf>
    <xf numFmtId="0" fontId="6" fillId="0" borderId="6" xfId="0" applyFont="1" applyBorder="1" applyAlignment="1">
      <alignment vertical="top" wrapText="1"/>
    </xf>
    <xf numFmtId="0" fontId="6" fillId="0" borderId="6" xfId="0" applyFont="1" applyBorder="1" applyAlignment="1">
      <alignment vertical="top"/>
    </xf>
    <xf numFmtId="0" fontId="6" fillId="0" borderId="13" xfId="0" applyFont="1" applyBorder="1" applyAlignment="1">
      <alignment vertical="top"/>
    </xf>
    <xf numFmtId="18" fontId="6" fillId="0" borderId="12" xfId="0" applyNumberFormat="1" applyFont="1" applyBorder="1" applyAlignment="1">
      <alignment vertical="top" wrapText="1"/>
    </xf>
    <xf numFmtId="0" fontId="7" fillId="11" borderId="8" xfId="0" applyFont="1" applyFill="1" applyBorder="1" applyAlignment="1">
      <alignment horizontal="center" vertical="top" wrapText="1"/>
    </xf>
    <xf numFmtId="0" fontId="6" fillId="11" borderId="8" xfId="0" applyFont="1" applyFill="1" applyBorder="1" applyAlignment="1">
      <alignment vertical="top" wrapText="1"/>
    </xf>
    <xf numFmtId="0" fontId="6" fillId="11" borderId="8" xfId="0" applyFont="1" applyFill="1" applyBorder="1" applyAlignment="1">
      <alignment horizontal="left" vertical="top" wrapText="1"/>
    </xf>
    <xf numFmtId="165" fontId="6" fillId="11" borderId="8" xfId="0" applyNumberFormat="1" applyFont="1" applyFill="1" applyBorder="1" applyAlignment="1">
      <alignment horizontal="center" vertical="top"/>
    </xf>
    <xf numFmtId="0" fontId="26" fillId="11" borderId="8" xfId="0" applyFont="1" applyFill="1" applyBorder="1"/>
    <xf numFmtId="0" fontId="6" fillId="11" borderId="5" xfId="0" applyFont="1" applyFill="1" applyBorder="1" applyAlignment="1">
      <alignment vertical="top" wrapText="1"/>
    </xf>
    <xf numFmtId="0" fontId="6" fillId="11" borderId="9" xfId="0" applyFont="1" applyFill="1" applyBorder="1" applyAlignment="1">
      <alignment vertical="top" wrapText="1"/>
    </xf>
    <xf numFmtId="0" fontId="6" fillId="11" borderId="10" xfId="0" applyFont="1" applyFill="1" applyBorder="1" applyAlignment="1">
      <alignment vertical="top" wrapText="1"/>
    </xf>
    <xf numFmtId="0" fontId="7" fillId="11" borderId="1" xfId="0" applyFont="1" applyFill="1" applyBorder="1" applyAlignment="1">
      <alignment horizontal="left" vertical="top" wrapText="1"/>
    </xf>
    <xf numFmtId="0" fontId="0" fillId="11" borderId="1" xfId="0" applyFill="1" applyBorder="1" applyAlignment="1">
      <alignment horizontal="left" vertical="top"/>
    </xf>
    <xf numFmtId="0" fontId="12" fillId="11" borderId="1" xfId="0" applyFont="1" applyFill="1" applyBorder="1" applyAlignment="1">
      <alignment wrapText="1"/>
    </xf>
    <xf numFmtId="0" fontId="3" fillId="12" borderId="0" xfId="0" applyFont="1" applyFill="1" applyAlignment="1">
      <alignment horizontal="left" vertical="top"/>
    </xf>
    <xf numFmtId="0" fontId="6" fillId="12" borderId="10" xfId="0" applyFont="1" applyFill="1" applyBorder="1" applyAlignment="1">
      <alignment vertical="top" wrapText="1"/>
    </xf>
    <xf numFmtId="0" fontId="12" fillId="12" borderId="1" xfId="0" applyFont="1" applyFill="1" applyBorder="1" applyAlignment="1">
      <alignment horizontal="left" vertical="top"/>
    </xf>
    <xf numFmtId="0" fontId="12" fillId="12" borderId="1" xfId="0" applyFont="1" applyFill="1" applyBorder="1"/>
    <xf numFmtId="18" fontId="6" fillId="12" borderId="5" xfId="0" applyNumberFormat="1" applyFont="1" applyFill="1" applyBorder="1" applyAlignment="1">
      <alignment vertical="top" wrapText="1"/>
    </xf>
    <xf numFmtId="0" fontId="28" fillId="0" borderId="1" xfId="0" applyFont="1" applyBorder="1" applyAlignment="1">
      <alignment wrapText="1"/>
    </xf>
    <xf numFmtId="0" fontId="28" fillId="0" borderId="4" xfId="0" applyFont="1" applyBorder="1" applyAlignment="1">
      <alignment wrapText="1"/>
    </xf>
    <xf numFmtId="0" fontId="9" fillId="0" borderId="4" xfId="1" applyBorder="1" applyAlignment="1">
      <alignment wrapText="1"/>
    </xf>
    <xf numFmtId="0" fontId="29" fillId="0" borderId="0" xfId="0" applyFont="1"/>
    <xf numFmtId="0" fontId="30" fillId="0" borderId="0" xfId="0" applyFont="1"/>
    <xf numFmtId="0" fontId="31" fillId="0" borderId="8" xfId="0" applyFont="1" applyBorder="1" applyAlignment="1">
      <alignment horizontal="left"/>
    </xf>
    <xf numFmtId="0" fontId="0" fillId="0" borderId="10" xfId="0" applyBorder="1"/>
    <xf numFmtId="0" fontId="31" fillId="0" borderId="8" xfId="0" applyFont="1" applyBorder="1" applyAlignment="1">
      <alignment horizontal="left" vertical="top"/>
    </xf>
    <xf numFmtId="0" fontId="0" fillId="0" borderId="8" xfId="0" applyBorder="1" applyAlignment="1">
      <alignment horizontal="left"/>
    </xf>
    <xf numFmtId="0" fontId="0" fillId="4" borderId="18" xfId="0" applyFill="1" applyBorder="1" applyAlignment="1">
      <alignment horizontal="center"/>
    </xf>
    <xf numFmtId="0" fontId="0" fillId="4" borderId="10" xfId="0" applyFill="1" applyBorder="1" applyAlignment="1">
      <alignment horizontal="center"/>
    </xf>
    <xf numFmtId="0" fontId="0" fillId="0" borderId="8" xfId="0" applyBorder="1" applyAlignment="1">
      <alignment wrapText="1"/>
    </xf>
    <xf numFmtId="0" fontId="9" fillId="0" borderId="8" xfId="1" applyBorder="1" applyAlignment="1">
      <alignment vertical="center" wrapText="1"/>
    </xf>
    <xf numFmtId="0" fontId="31" fillId="0" borderId="8" xfId="0" applyFont="1" applyBorder="1"/>
    <xf numFmtId="0" fontId="31" fillId="0" borderId="0" xfId="0" applyFont="1"/>
    <xf numFmtId="0" fontId="33" fillId="0" borderId="0" xfId="0" applyFont="1" applyAlignment="1">
      <alignment vertical="center"/>
    </xf>
    <xf numFmtId="0" fontId="34" fillId="0" borderId="0" xfId="0" applyFont="1" applyAlignment="1">
      <alignment horizontal="left" vertical="center" indent="1"/>
    </xf>
    <xf numFmtId="0" fontId="34" fillId="0" borderId="0" xfId="0" applyFont="1" applyAlignment="1">
      <alignment horizontal="left" vertical="center" indent="2"/>
    </xf>
    <xf numFmtId="0" fontId="34" fillId="0" borderId="0" xfId="0" applyFont="1" applyAlignment="1">
      <alignment horizontal="left" vertical="center" indent="3"/>
    </xf>
    <xf numFmtId="0" fontId="34" fillId="0" borderId="0" xfId="0" applyFont="1" applyAlignment="1">
      <alignment horizontal="left" vertical="center" indent="4"/>
    </xf>
    <xf numFmtId="0" fontId="34" fillId="0" borderId="0" xfId="0" applyFont="1" applyAlignment="1">
      <alignment vertical="center"/>
    </xf>
    <xf numFmtId="0" fontId="2" fillId="0" borderId="8" xfId="0" applyFont="1" applyBorder="1"/>
    <xf numFmtId="0" fontId="2" fillId="0" borderId="8" xfId="0" applyFont="1" applyBorder="1" applyAlignment="1">
      <alignment horizontal="left" wrapText="1"/>
    </xf>
    <xf numFmtId="0" fontId="2" fillId="0" borderId="2" xfId="0" applyFont="1" applyBorder="1"/>
    <xf numFmtId="0" fontId="0" fillId="0" borderId="17" xfId="0" applyBorder="1"/>
    <xf numFmtId="0" fontId="2" fillId="0" borderId="17" xfId="0" applyFont="1" applyBorder="1" applyAlignment="1">
      <alignment horizontal="left" wrapText="1"/>
    </xf>
    <xf numFmtId="0" fontId="0" fillId="4" borderId="9" xfId="0" applyFill="1" applyBorder="1" applyAlignment="1">
      <alignment horizontal="left"/>
    </xf>
    <xf numFmtId="0" fontId="2" fillId="0" borderId="8" xfId="0" applyFont="1" applyBorder="1" applyAlignment="1">
      <alignment horizontal="left"/>
    </xf>
    <xf numFmtId="0" fontId="2" fillId="0" borderId="19" xfId="0" applyFont="1" applyBorder="1" applyAlignment="1">
      <alignment horizontal="left"/>
    </xf>
    <xf numFmtId="0" fontId="1" fillId="0" borderId="8" xfId="0" applyFont="1" applyBorder="1" applyAlignment="1">
      <alignment wrapText="1"/>
    </xf>
    <xf numFmtId="0" fontId="28" fillId="0" borderId="5" xfId="0" applyFont="1" applyBorder="1" applyAlignment="1">
      <alignment wrapText="1"/>
    </xf>
    <xf numFmtId="0" fontId="28" fillId="0" borderId="14" xfId="0" applyFont="1" applyBorder="1" applyAlignment="1">
      <alignment wrapText="1"/>
    </xf>
    <xf numFmtId="0" fontId="17" fillId="0" borderId="0" xfId="0" applyFont="1"/>
    <xf numFmtId="20" fontId="17" fillId="0" borderId="0" xfId="0" applyNumberFormat="1" applyFont="1"/>
    <xf numFmtId="0" fontId="36" fillId="15" borderId="0" xfId="0" applyFont="1" applyFill="1"/>
    <xf numFmtId="0" fontId="17" fillId="0" borderId="0" xfId="0" applyFont="1" applyAlignment="1">
      <alignment wrapText="1"/>
    </xf>
    <xf numFmtId="0" fontId="17" fillId="0" borderId="4" xfId="0" applyFont="1" applyBorder="1" applyAlignment="1">
      <alignment wrapText="1"/>
    </xf>
    <xf numFmtId="0" fontId="17" fillId="0" borderId="3" xfId="0" applyFont="1" applyBorder="1" applyAlignment="1">
      <alignment wrapText="1"/>
    </xf>
    <xf numFmtId="0" fontId="9" fillId="0" borderId="17" xfId="1" applyBorder="1" applyAlignment="1">
      <alignment wrapText="1"/>
    </xf>
    <xf numFmtId="0" fontId="9" fillId="0" borderId="8" xfId="1" applyBorder="1" applyAlignment="1">
      <alignment wrapText="1"/>
    </xf>
    <xf numFmtId="0" fontId="12" fillId="0" borderId="1" xfId="0" applyFont="1" applyBorder="1" applyAlignment="1">
      <alignment horizontal="center" vertical="top"/>
    </xf>
    <xf numFmtId="0" fontId="12" fillId="0" borderId="1" xfId="0" applyFont="1" applyBorder="1" applyAlignment="1">
      <alignment vertical="top"/>
    </xf>
    <xf numFmtId="0" fontId="12" fillId="5" borderId="1" xfId="0" applyFont="1" applyFill="1" applyBorder="1" applyAlignment="1">
      <alignment horizontal="left" vertical="top"/>
    </xf>
    <xf numFmtId="0" fontId="14" fillId="0" borderId="1" xfId="0" applyFont="1" applyBorder="1" applyAlignment="1">
      <alignment horizontal="left" vertical="top"/>
    </xf>
    <xf numFmtId="0" fontId="12" fillId="0" borderId="8" xfId="0" applyFont="1" applyBorder="1" applyAlignment="1">
      <alignment horizontal="center" vertical="top"/>
    </xf>
    <xf numFmtId="0" fontId="1" fillId="0" borderId="8" xfId="0" applyFont="1" applyBorder="1" applyAlignment="1">
      <alignment horizontal="left" vertical="top"/>
    </xf>
    <xf numFmtId="0" fontId="1" fillId="0" borderId="0" xfId="0" applyFont="1"/>
    <xf numFmtId="0" fontId="14" fillId="0" borderId="0" xfId="0" applyFont="1"/>
    <xf numFmtId="0" fontId="7" fillId="0" borderId="8" xfId="0" quotePrefix="1" applyFont="1" applyBorder="1" applyAlignment="1">
      <alignment vertical="top" wrapText="1"/>
    </xf>
    <xf numFmtId="0" fontId="6" fillId="0" borderId="2" xfId="0" applyFont="1" applyBorder="1" applyAlignment="1">
      <alignment vertical="top" wrapText="1"/>
    </xf>
    <xf numFmtId="0" fontId="36" fillId="15" borderId="0" xfId="0" applyFont="1" applyFill="1" applyAlignment="1">
      <alignment wrapText="1"/>
    </xf>
    <xf numFmtId="0" fontId="14" fillId="0" borderId="8" xfId="0" applyFont="1" applyBorder="1" applyAlignment="1">
      <alignment wrapText="1"/>
    </xf>
    <xf numFmtId="0" fontId="14" fillId="0" borderId="1" xfId="0" applyFont="1" applyBorder="1" applyAlignment="1">
      <alignment wrapText="1"/>
    </xf>
    <xf numFmtId="0" fontId="6" fillId="0" borderId="2" xfId="0" applyFont="1" applyBorder="1" applyAlignment="1">
      <alignment horizontal="center" vertical="top" wrapText="1"/>
    </xf>
    <xf numFmtId="0" fontId="12" fillId="0" borderId="2" xfId="0" applyFont="1" applyBorder="1" applyAlignment="1">
      <alignment horizontal="left" vertical="top"/>
    </xf>
    <xf numFmtId="0" fontId="12" fillId="0" borderId="2" xfId="0" applyFont="1" applyBorder="1"/>
    <xf numFmtId="0" fontId="12" fillId="0" borderId="4" xfId="0" applyFont="1" applyBorder="1" applyAlignment="1">
      <alignment vertical="top"/>
    </xf>
    <xf numFmtId="0" fontId="12" fillId="0" borderId="8" xfId="0" applyFont="1" applyBorder="1" applyAlignment="1">
      <alignment vertical="top"/>
    </xf>
    <xf numFmtId="0" fontId="12" fillId="0" borderId="4" xfId="0" applyFont="1" applyBorder="1"/>
    <xf numFmtId="0" fontId="12" fillId="5" borderId="10" xfId="0" applyFont="1" applyFill="1" applyBorder="1" applyAlignment="1">
      <alignment horizontal="left" vertical="top"/>
    </xf>
    <xf numFmtId="0" fontId="14" fillId="16" borderId="0" xfId="0" applyFont="1" applyFill="1"/>
    <xf numFmtId="0" fontId="14" fillId="17" borderId="0" xfId="0" applyFont="1" applyFill="1"/>
    <xf numFmtId="0" fontId="6" fillId="0" borderId="8" xfId="0" applyFont="1" applyBorder="1" applyAlignment="1">
      <alignment vertical="center"/>
    </xf>
    <xf numFmtId="0" fontId="16" fillId="0" borderId="8" xfId="0" applyFont="1" applyBorder="1" applyAlignment="1">
      <alignment vertical="top" wrapText="1"/>
    </xf>
    <xf numFmtId="0" fontId="7" fillId="6" borderId="8" xfId="0" applyFont="1" applyFill="1" applyBorder="1" applyAlignment="1">
      <alignment vertical="center" wrapText="1"/>
    </xf>
    <xf numFmtId="0" fontId="16" fillId="11" borderId="8" xfId="0" applyFont="1" applyFill="1" applyBorder="1" applyAlignment="1">
      <alignment vertical="top" wrapText="1"/>
    </xf>
    <xf numFmtId="0" fontId="6" fillId="0" borderId="20" xfId="0" applyFont="1" applyBorder="1" applyAlignment="1">
      <alignment vertical="top"/>
    </xf>
    <xf numFmtId="0" fontId="7" fillId="6" borderId="6" xfId="0" applyFont="1" applyFill="1" applyBorder="1" applyAlignment="1">
      <alignment vertical="top" wrapText="1"/>
    </xf>
    <xf numFmtId="0" fontId="6" fillId="11" borderId="6" xfId="0" applyFont="1" applyFill="1" applyBorder="1" applyAlignment="1">
      <alignment vertical="top" wrapText="1"/>
    </xf>
    <xf numFmtId="0" fontId="6" fillId="6" borderId="6" xfId="0" applyFont="1" applyFill="1" applyBorder="1" applyAlignment="1">
      <alignment vertical="top" wrapText="1"/>
    </xf>
    <xf numFmtId="165" fontId="6" fillId="0" borderId="10" xfId="0" applyNumberFormat="1" applyFont="1" applyBorder="1" applyAlignment="1">
      <alignment horizontal="center" vertical="top"/>
    </xf>
    <xf numFmtId="165" fontId="6" fillId="11" borderId="10" xfId="0" applyNumberFormat="1" applyFont="1" applyFill="1" applyBorder="1" applyAlignment="1">
      <alignment horizontal="center" vertical="top"/>
    </xf>
    <xf numFmtId="0" fontId="12" fillId="12" borderId="8" xfId="0" applyFont="1" applyFill="1" applyBorder="1"/>
    <xf numFmtId="0" fontId="7" fillId="0" borderId="1" xfId="0" applyFont="1" applyBorder="1" applyAlignment="1">
      <alignment vertical="top"/>
    </xf>
    <xf numFmtId="0" fontId="6" fillId="0" borderId="0" xfId="0" applyFont="1" applyAlignment="1">
      <alignment vertical="top" wrapText="1"/>
    </xf>
    <xf numFmtId="0" fontId="6" fillId="0" borderId="9" xfId="0" applyFont="1" applyBorder="1" applyAlignment="1">
      <alignment vertical="top"/>
    </xf>
    <xf numFmtId="0" fontId="7" fillId="0" borderId="5" xfId="0" applyFont="1" applyBorder="1" applyAlignment="1">
      <alignment horizontal="left" vertical="top"/>
    </xf>
    <xf numFmtId="0" fontId="12" fillId="0" borderId="3" xfId="0" applyFont="1" applyBorder="1" applyAlignment="1">
      <alignment vertical="top"/>
    </xf>
    <xf numFmtId="18" fontId="6" fillId="12" borderId="1" xfId="0" applyNumberFormat="1" applyFont="1" applyFill="1" applyBorder="1" applyAlignment="1">
      <alignment vertical="top" wrapText="1"/>
    </xf>
    <xf numFmtId="0" fontId="12" fillId="0" borderId="2" xfId="0" applyFont="1" applyBorder="1" applyAlignment="1">
      <alignment vertical="top"/>
    </xf>
    <xf numFmtId="0" fontId="10" fillId="0" borderId="2" xfId="0" applyFont="1" applyBorder="1" applyAlignment="1">
      <alignment vertical="top"/>
    </xf>
    <xf numFmtId="0" fontId="12" fillId="0" borderId="3" xfId="0" applyFont="1" applyBorder="1"/>
    <xf numFmtId="0" fontId="16" fillId="0" borderId="2" xfId="0" applyFont="1" applyBorder="1" applyAlignment="1">
      <alignment horizontal="left" vertical="top" wrapText="1"/>
    </xf>
    <xf numFmtId="0" fontId="7" fillId="0" borderId="9" xfId="0" applyFont="1" applyBorder="1" applyAlignment="1">
      <alignment horizontal="left" vertical="top" wrapText="1"/>
    </xf>
    <xf numFmtId="0" fontId="14" fillId="0" borderId="2" xfId="0" applyFont="1" applyBorder="1" applyAlignment="1">
      <alignment wrapText="1"/>
    </xf>
    <xf numFmtId="0" fontId="12" fillId="5" borderId="2" xfId="0" applyFont="1" applyFill="1" applyBorder="1" applyAlignment="1">
      <alignment horizontal="left" vertical="top"/>
    </xf>
    <xf numFmtId="0" fontId="7" fillId="0" borderId="10" xfId="0" applyFont="1" applyBorder="1" applyAlignment="1">
      <alignment horizontal="left" vertical="top" wrapText="1"/>
    </xf>
    <xf numFmtId="165" fontId="7" fillId="6" borderId="1" xfId="0" applyNumberFormat="1" applyFont="1" applyFill="1" applyBorder="1" applyAlignment="1">
      <alignment vertical="center"/>
    </xf>
    <xf numFmtId="165" fontId="6" fillId="0" borderId="11" xfId="0" applyNumberFormat="1" applyFont="1" applyBorder="1" applyAlignment="1">
      <alignment horizontal="center" vertical="top"/>
    </xf>
    <xf numFmtId="0" fontId="7" fillId="0" borderId="0" xfId="0" applyFont="1" applyAlignment="1">
      <alignment horizontal="left" vertical="top" wrapText="1"/>
    </xf>
    <xf numFmtId="18" fontId="6" fillId="0" borderId="0" xfId="0" applyNumberFormat="1" applyFont="1" applyAlignment="1">
      <alignment vertical="top" wrapText="1"/>
    </xf>
    <xf numFmtId="0" fontId="12" fillId="0" borderId="0" xfId="0" applyFont="1" applyAlignment="1">
      <alignment horizontal="left" vertical="top"/>
    </xf>
    <xf numFmtId="165" fontId="6" fillId="0" borderId="22" xfId="0" applyNumberFormat="1" applyFont="1" applyBorder="1" applyAlignment="1">
      <alignment horizontal="center" vertical="top"/>
    </xf>
    <xf numFmtId="20" fontId="0" fillId="0" borderId="0" xfId="0" applyNumberFormat="1"/>
    <xf numFmtId="0" fontId="37" fillId="0" borderId="0" xfId="0" applyFont="1" applyAlignment="1">
      <alignment wrapText="1"/>
    </xf>
    <xf numFmtId="0" fontId="38" fillId="0" borderId="2" xfId="0" applyFont="1" applyBorder="1" applyAlignment="1">
      <alignment horizontal="left" vertical="center"/>
    </xf>
    <xf numFmtId="0" fontId="38" fillId="0" borderId="8" xfId="0" applyFont="1" applyBorder="1" applyAlignment="1">
      <alignment horizontal="left" vertical="center"/>
    </xf>
    <xf numFmtId="0" fontId="38" fillId="0" borderId="4" xfId="0" applyFont="1" applyBorder="1" applyAlignment="1">
      <alignment horizontal="left" vertical="center"/>
    </xf>
    <xf numFmtId="0" fontId="38" fillId="0" borderId="1" xfId="0" applyFont="1" applyBorder="1" applyAlignment="1">
      <alignment horizontal="left" vertical="center"/>
    </xf>
    <xf numFmtId="0" fontId="28" fillId="0" borderId="0" xfId="0" applyFont="1" applyAlignment="1">
      <alignment wrapText="1"/>
    </xf>
    <xf numFmtId="0" fontId="2" fillId="18" borderId="1" xfId="0" applyFont="1" applyFill="1" applyBorder="1" applyAlignment="1">
      <alignment wrapText="1"/>
    </xf>
    <xf numFmtId="0" fontId="0" fillId="9" borderId="1" xfId="0" applyFill="1" applyBorder="1" applyAlignment="1">
      <alignment wrapText="1"/>
    </xf>
    <xf numFmtId="18" fontId="6" fillId="0" borderId="6" xfId="0" applyNumberFormat="1" applyFont="1" applyBorder="1" applyAlignment="1">
      <alignment vertical="top" wrapText="1"/>
    </xf>
    <xf numFmtId="0" fontId="6" fillId="0" borderId="22" xfId="0" applyFont="1" applyBorder="1" applyAlignment="1">
      <alignment vertical="top" wrapText="1"/>
    </xf>
    <xf numFmtId="0" fontId="39" fillId="6" borderId="0" xfId="0" applyFont="1" applyFill="1"/>
    <xf numFmtId="0" fontId="17" fillId="6" borderId="0" xfId="0" applyFont="1" applyFill="1"/>
    <xf numFmtId="0" fontId="31" fillId="0" borderId="1" xfId="0" applyFont="1" applyBorder="1" applyAlignment="1">
      <alignment wrapText="1"/>
    </xf>
    <xf numFmtId="0" fontId="12" fillId="5" borderId="21" xfId="0" applyFont="1" applyFill="1" applyBorder="1" applyAlignment="1">
      <alignment horizontal="left" vertical="top"/>
    </xf>
    <xf numFmtId="0" fontId="42" fillId="0" borderId="0" xfId="0" applyFont="1"/>
    <xf numFmtId="20" fontId="42" fillId="0" borderId="0" xfId="0" applyNumberFormat="1" applyFont="1"/>
    <xf numFmtId="0" fontId="43" fillId="6" borderId="0" xfId="0" applyFont="1" applyFill="1"/>
    <xf numFmtId="0" fontId="44" fillId="0" borderId="0" xfId="0" applyFont="1" applyAlignment="1">
      <alignment wrapText="1"/>
    </xf>
    <xf numFmtId="0" fontId="45" fillId="15" borderId="0" xfId="0" applyFont="1" applyFill="1"/>
    <xf numFmtId="0" fontId="44" fillId="0" borderId="0" xfId="0" applyFont="1"/>
    <xf numFmtId="0" fontId="42" fillId="0" borderId="0" xfId="0" applyFont="1" applyAlignment="1">
      <alignment wrapText="1"/>
    </xf>
    <xf numFmtId="0" fontId="46" fillId="0" borderId="0" xfId="0" applyFont="1" applyAlignment="1">
      <alignment wrapText="1"/>
    </xf>
    <xf numFmtId="165" fontId="6" fillId="0" borderId="16" xfId="0" applyNumberFormat="1" applyFont="1" applyBorder="1" applyAlignment="1">
      <alignment horizontal="center" vertical="top"/>
    </xf>
    <xf numFmtId="0" fontId="47" fillId="0" borderId="0" xfId="0" applyFont="1"/>
    <xf numFmtId="0" fontId="36" fillId="0" borderId="0" xfId="0" applyFont="1"/>
    <xf numFmtId="0" fontId="25" fillId="0" borderId="0" xfId="0" applyFont="1" applyAlignment="1">
      <alignment horizontal="center" vertical="top" wrapText="1"/>
    </xf>
    <xf numFmtId="0" fontId="6" fillId="0" borderId="24" xfId="0" applyFont="1" applyBorder="1" applyAlignment="1">
      <alignment horizontal="left" vertical="top" wrapText="1"/>
    </xf>
    <xf numFmtId="0" fontId="14" fillId="0" borderId="1" xfId="0" applyFont="1" applyBorder="1"/>
    <xf numFmtId="0" fontId="6" fillId="0" borderId="0" xfId="0" applyFont="1" applyAlignment="1">
      <alignment vertical="top"/>
    </xf>
    <xf numFmtId="0" fontId="12" fillId="0" borderId="1" xfId="0" applyFont="1" applyBorder="1" applyAlignment="1">
      <alignment vertical="top" wrapText="1"/>
    </xf>
    <xf numFmtId="0" fontId="47" fillId="0" borderId="25" xfId="0" applyFont="1" applyBorder="1"/>
    <xf numFmtId="0" fontId="12" fillId="0" borderId="8" xfId="0" applyFont="1" applyBorder="1" applyAlignment="1">
      <alignment vertical="top" wrapText="1"/>
    </xf>
    <xf numFmtId="0" fontId="12" fillId="17" borderId="8" xfId="0" applyFont="1" applyFill="1" applyBorder="1" applyAlignment="1">
      <alignment vertical="top" wrapText="1"/>
    </xf>
    <xf numFmtId="0" fontId="12" fillId="19" borderId="8" xfId="0" applyFont="1" applyFill="1" applyBorder="1"/>
    <xf numFmtId="0" fontId="6" fillId="19" borderId="6" xfId="0" applyFont="1" applyFill="1" applyBorder="1" applyAlignment="1">
      <alignment vertical="top"/>
    </xf>
    <xf numFmtId="0" fontId="6" fillId="19" borderId="8" xfId="0" applyFont="1" applyFill="1" applyBorder="1" applyAlignment="1">
      <alignment vertical="top" wrapText="1"/>
    </xf>
    <xf numFmtId="165" fontId="6" fillId="19" borderId="8" xfId="0" applyNumberFormat="1" applyFont="1" applyFill="1" applyBorder="1" applyAlignment="1">
      <alignment horizontal="center" vertical="top"/>
    </xf>
    <xf numFmtId="0" fontId="16" fillId="19" borderId="8" xfId="0" applyFont="1" applyFill="1" applyBorder="1" applyAlignment="1">
      <alignment horizontal="left" vertical="top" wrapText="1"/>
    </xf>
    <xf numFmtId="0" fontId="12" fillId="19" borderId="9" xfId="0" applyFont="1" applyFill="1" applyBorder="1" applyAlignment="1">
      <alignment horizontal="left" vertical="top"/>
    </xf>
    <xf numFmtId="0" fontId="14" fillId="19" borderId="8" xfId="0" applyFont="1" applyFill="1" applyBorder="1" applyAlignment="1">
      <alignment wrapText="1"/>
    </xf>
    <xf numFmtId="0" fontId="6" fillId="19" borderId="10" xfId="0" applyFont="1" applyFill="1" applyBorder="1" applyAlignment="1">
      <alignment vertical="top" wrapText="1"/>
    </xf>
    <xf numFmtId="0" fontId="25" fillId="19" borderId="0" xfId="0" applyFont="1" applyFill="1" applyAlignment="1">
      <alignment horizontal="left" vertical="top"/>
    </xf>
    <xf numFmtId="0" fontId="37" fillId="10" borderId="0" xfId="0" applyFont="1" applyFill="1" applyAlignment="1">
      <alignment wrapText="1"/>
    </xf>
    <xf numFmtId="0" fontId="48" fillId="0" borderId="1" xfId="0" applyFont="1" applyBorder="1" applyAlignment="1">
      <alignment vertical="top"/>
    </xf>
    <xf numFmtId="0" fontId="49" fillId="12" borderId="1" xfId="0" applyFont="1" applyFill="1" applyBorder="1" applyAlignment="1">
      <alignment horizontal="center" vertical="top"/>
    </xf>
    <xf numFmtId="0" fontId="50" fillId="12" borderId="1" xfId="0" applyFont="1" applyFill="1" applyBorder="1" applyAlignment="1">
      <alignment horizontal="left" vertical="top" wrapText="1"/>
    </xf>
    <xf numFmtId="0" fontId="49" fillId="12" borderId="1" xfId="0" applyFont="1" applyFill="1" applyBorder="1" applyAlignment="1">
      <alignment horizontal="left" vertical="top"/>
    </xf>
    <xf numFmtId="0" fontId="49" fillId="12" borderId="1" xfId="0" applyFont="1" applyFill="1" applyBorder="1"/>
    <xf numFmtId="0" fontId="48" fillId="12" borderId="1" xfId="0" applyFont="1" applyFill="1" applyBorder="1" applyAlignment="1">
      <alignment vertical="top" wrapText="1"/>
    </xf>
    <xf numFmtId="0" fontId="48" fillId="12" borderId="6" xfId="0" applyFont="1" applyFill="1" applyBorder="1" applyAlignment="1">
      <alignment vertical="top"/>
    </xf>
    <xf numFmtId="0" fontId="51" fillId="12" borderId="8" xfId="0" applyFont="1" applyFill="1" applyBorder="1" applyAlignment="1">
      <alignment vertical="top"/>
    </xf>
    <xf numFmtId="0" fontId="51" fillId="12" borderId="8" xfId="0" applyFont="1" applyFill="1" applyBorder="1" applyAlignment="1">
      <alignment horizontal="left" vertical="top" wrapText="1"/>
    </xf>
    <xf numFmtId="165" fontId="48" fillId="0" borderId="8" xfId="0" applyNumberFormat="1" applyFont="1" applyBorder="1" applyAlignment="1">
      <alignment horizontal="center" vertical="top"/>
    </xf>
    <xf numFmtId="18" fontId="48" fillId="12" borderId="5" xfId="0" applyNumberFormat="1" applyFont="1" applyFill="1" applyBorder="1" applyAlignment="1">
      <alignment vertical="top" wrapText="1"/>
    </xf>
    <xf numFmtId="0" fontId="49" fillId="12" borderId="1" xfId="0" applyFont="1" applyFill="1" applyBorder="1" applyAlignment="1">
      <alignment vertical="top"/>
    </xf>
    <xf numFmtId="0" fontId="51" fillId="12" borderId="1" xfId="0" applyFont="1" applyFill="1" applyBorder="1" applyAlignment="1">
      <alignment horizontal="left" vertical="top" wrapText="1"/>
    </xf>
    <xf numFmtId="0" fontId="52" fillId="12" borderId="1" xfId="0" applyFont="1" applyFill="1" applyBorder="1" applyAlignment="1">
      <alignment wrapText="1"/>
    </xf>
    <xf numFmtId="165" fontId="48" fillId="12" borderId="2" xfId="0" applyNumberFormat="1" applyFont="1" applyFill="1" applyBorder="1" applyAlignment="1">
      <alignment horizontal="center" vertical="top"/>
    </xf>
    <xf numFmtId="0" fontId="50" fillId="12" borderId="1" xfId="0" applyFont="1" applyFill="1" applyBorder="1" applyAlignment="1">
      <alignment vertical="center" wrapText="1"/>
    </xf>
    <xf numFmtId="0" fontId="53" fillId="12" borderId="1" xfId="0" applyFont="1" applyFill="1" applyBorder="1" applyAlignment="1">
      <alignment horizontal="left" vertical="top" wrapText="1"/>
    </xf>
    <xf numFmtId="0" fontId="54" fillId="13" borderId="4" xfId="0" applyFont="1" applyFill="1" applyBorder="1" applyAlignment="1">
      <alignment wrapText="1"/>
    </xf>
    <xf numFmtId="0" fontId="52" fillId="12" borderId="1" xfId="0" applyFont="1" applyFill="1" applyBorder="1" applyAlignment="1">
      <alignment horizontal="left" vertical="top"/>
    </xf>
    <xf numFmtId="0" fontId="49" fillId="12" borderId="1" xfId="0" applyFont="1" applyFill="1" applyBorder="1" applyAlignment="1">
      <alignment wrapText="1"/>
    </xf>
    <xf numFmtId="165" fontId="6" fillId="0" borderId="0" xfId="0" applyNumberFormat="1" applyFont="1" applyAlignment="1">
      <alignment horizontal="center" vertical="top"/>
    </xf>
    <xf numFmtId="0" fontId="24" fillId="0" borderId="0" xfId="0" applyFont="1" applyAlignment="1">
      <alignment wrapText="1"/>
    </xf>
    <xf numFmtId="0" fontId="2" fillId="0" borderId="0" xfId="0" applyFont="1" applyAlignment="1">
      <alignment horizontal="left" vertical="top"/>
    </xf>
    <xf numFmtId="0" fontId="6" fillId="20" borderId="1" xfId="0" applyFont="1" applyFill="1" applyBorder="1" applyAlignment="1">
      <alignment vertical="top"/>
    </xf>
    <xf numFmtId="0" fontId="7" fillId="20" borderId="1" xfId="0" applyFont="1" applyFill="1" applyBorder="1" applyAlignment="1">
      <alignment horizontal="left" vertical="top" wrapText="1"/>
    </xf>
    <xf numFmtId="0" fontId="6" fillId="20" borderId="1" xfId="0" applyFont="1" applyFill="1" applyBorder="1" applyAlignment="1">
      <alignment vertical="top" wrapText="1"/>
    </xf>
    <xf numFmtId="165" fontId="6" fillId="20" borderId="1" xfId="0" applyNumberFormat="1" applyFont="1" applyFill="1" applyBorder="1" applyAlignment="1">
      <alignment horizontal="center" vertical="top"/>
    </xf>
    <xf numFmtId="0" fontId="24" fillId="20" borderId="1" xfId="0" applyFont="1" applyFill="1" applyBorder="1" applyAlignment="1">
      <alignment wrapText="1"/>
    </xf>
    <xf numFmtId="0" fontId="2" fillId="20" borderId="1" xfId="0" applyFont="1" applyFill="1" applyBorder="1" applyAlignment="1">
      <alignment horizontal="left" vertical="top"/>
    </xf>
    <xf numFmtId="0" fontId="2" fillId="20" borderId="0" xfId="0" applyFont="1" applyFill="1" applyAlignment="1">
      <alignment horizontal="left" vertical="top"/>
    </xf>
    <xf numFmtId="0" fontId="3" fillId="20" borderId="0" xfId="0" applyFont="1" applyFill="1" applyAlignment="1">
      <alignment horizontal="left" vertical="top"/>
    </xf>
    <xf numFmtId="0" fontId="6" fillId="20" borderId="2" xfId="0" applyFont="1" applyFill="1" applyBorder="1" applyAlignment="1">
      <alignment horizontal="center" vertical="top" wrapText="1"/>
    </xf>
    <xf numFmtId="0" fontId="6" fillId="20" borderId="1" xfId="0" applyFont="1" applyFill="1" applyBorder="1" applyAlignment="1">
      <alignment horizontal="left" vertical="top"/>
    </xf>
    <xf numFmtId="0" fontId="12" fillId="20" borderId="1" xfId="0" applyFont="1" applyFill="1" applyBorder="1"/>
    <xf numFmtId="0" fontId="6" fillId="20" borderId="1" xfId="0" quotePrefix="1" applyFont="1" applyFill="1" applyBorder="1" applyAlignment="1">
      <alignment vertical="top" wrapText="1"/>
    </xf>
    <xf numFmtId="0" fontId="6" fillId="20" borderId="6" xfId="0" applyFont="1" applyFill="1" applyBorder="1" applyAlignment="1">
      <alignment vertical="top"/>
    </xf>
    <xf numFmtId="0" fontId="6" fillId="20" borderId="6" xfId="0" applyFont="1" applyFill="1" applyBorder="1" applyAlignment="1">
      <alignment vertical="top" wrapText="1"/>
    </xf>
    <xf numFmtId="0" fontId="6" fillId="20" borderId="6" xfId="0" applyFont="1" applyFill="1" applyBorder="1" applyAlignment="1">
      <alignment horizontal="center" vertical="top"/>
    </xf>
    <xf numFmtId="0" fontId="6" fillId="20" borderId="1" xfId="0" applyFont="1" applyFill="1" applyBorder="1" applyAlignment="1">
      <alignment horizontal="left" vertical="top" wrapText="1"/>
    </xf>
    <xf numFmtId="0" fontId="26" fillId="20" borderId="4" xfId="0" applyFont="1" applyFill="1" applyBorder="1" applyAlignment="1">
      <alignment wrapText="1"/>
    </xf>
    <xf numFmtId="0" fontId="0" fillId="20" borderId="1" xfId="0" applyFill="1" applyBorder="1" applyAlignment="1">
      <alignment horizontal="left" vertical="top"/>
    </xf>
    <xf numFmtId="0" fontId="12" fillId="20" borderId="1" xfId="0" applyFont="1" applyFill="1" applyBorder="1" applyAlignment="1">
      <alignment wrapText="1"/>
    </xf>
    <xf numFmtId="0" fontId="6" fillId="21" borderId="6" xfId="0" applyFont="1" applyFill="1" applyBorder="1" applyAlignment="1">
      <alignment vertical="top"/>
    </xf>
    <xf numFmtId="0" fontId="6" fillId="21" borderId="1" xfId="0" quotePrefix="1" applyFont="1" applyFill="1" applyBorder="1" applyAlignment="1">
      <alignment vertical="top" wrapText="1"/>
    </xf>
    <xf numFmtId="0" fontId="6" fillId="21" borderId="6" xfId="0" applyFont="1" applyFill="1" applyBorder="1" applyAlignment="1">
      <alignment vertical="top" wrapText="1"/>
    </xf>
    <xf numFmtId="165" fontId="6" fillId="21" borderId="1" xfId="0" applyNumberFormat="1" applyFont="1" applyFill="1" applyBorder="1" applyAlignment="1">
      <alignment horizontal="center" vertical="top"/>
    </xf>
    <xf numFmtId="0" fontId="14" fillId="21" borderId="1" xfId="0" applyFont="1" applyFill="1" applyBorder="1" applyAlignment="1">
      <alignment wrapText="1"/>
    </xf>
    <xf numFmtId="0" fontId="12" fillId="21" borderId="1" xfId="0" applyFont="1" applyFill="1" applyBorder="1" applyAlignment="1">
      <alignment horizontal="left" vertical="top"/>
    </xf>
    <xf numFmtId="0" fontId="13" fillId="21" borderId="1" xfId="0" applyFont="1" applyFill="1" applyBorder="1" applyAlignment="1">
      <alignment vertical="center" wrapText="1"/>
    </xf>
    <xf numFmtId="0" fontId="7" fillId="21" borderId="1" xfId="0" applyFont="1" applyFill="1" applyBorder="1" applyAlignment="1">
      <alignment horizontal="left" vertical="top" wrapText="1"/>
    </xf>
    <xf numFmtId="0" fontId="17" fillId="21" borderId="4" xfId="0" applyFont="1" applyFill="1" applyBorder="1" applyAlignment="1">
      <alignment wrapText="1"/>
    </xf>
    <xf numFmtId="0" fontId="14" fillId="21" borderId="1" xfId="0" applyFont="1" applyFill="1" applyBorder="1" applyAlignment="1">
      <alignment horizontal="left" vertical="top"/>
    </xf>
    <xf numFmtId="0" fontId="12" fillId="21" borderId="1" xfId="0" applyFont="1" applyFill="1" applyBorder="1" applyAlignment="1">
      <alignment wrapText="1"/>
    </xf>
    <xf numFmtId="0" fontId="3" fillId="21" borderId="0" xfId="0" applyFont="1" applyFill="1" applyAlignment="1">
      <alignment horizontal="left" vertical="top"/>
    </xf>
    <xf numFmtId="0" fontId="6" fillId="21" borderId="1" xfId="0" applyFont="1" applyFill="1" applyBorder="1" applyAlignment="1">
      <alignment vertical="top"/>
    </xf>
    <xf numFmtId="0" fontId="7" fillId="21" borderId="1" xfId="0" applyFont="1" applyFill="1" applyBorder="1" applyAlignment="1">
      <alignment horizontal="center" vertical="top"/>
    </xf>
    <xf numFmtId="0" fontId="7" fillId="21" borderId="1" xfId="0" applyFont="1" applyFill="1" applyBorder="1" applyAlignment="1">
      <alignment horizontal="left" vertical="top"/>
    </xf>
    <xf numFmtId="0" fontId="7" fillId="21" borderId="8" xfId="0" applyFont="1" applyFill="1" applyBorder="1" applyAlignment="1">
      <alignment horizontal="left" vertical="top"/>
    </xf>
    <xf numFmtId="0" fontId="7" fillId="21" borderId="1" xfId="0" applyFont="1" applyFill="1" applyBorder="1" applyAlignment="1">
      <alignment vertical="top"/>
    </xf>
    <xf numFmtId="0" fontId="7" fillId="21" borderId="1" xfId="0" applyFont="1" applyFill="1" applyBorder="1" applyAlignment="1">
      <alignment vertical="top" wrapText="1"/>
    </xf>
    <xf numFmtId="0" fontId="7" fillId="21" borderId="8" xfId="0" applyFont="1" applyFill="1" applyBorder="1" applyAlignment="1">
      <alignment vertical="top"/>
    </xf>
    <xf numFmtId="0" fontId="7" fillId="21" borderId="6" xfId="0" applyFont="1" applyFill="1" applyBorder="1" applyAlignment="1">
      <alignment vertical="top" wrapText="1"/>
    </xf>
    <xf numFmtId="0" fontId="7" fillId="21" borderId="8" xfId="0" applyFont="1" applyFill="1" applyBorder="1" applyAlignment="1">
      <alignment vertical="center" wrapText="1"/>
    </xf>
    <xf numFmtId="165" fontId="6" fillId="21" borderId="10" xfId="0" applyNumberFormat="1" applyFont="1" applyFill="1" applyBorder="1" applyAlignment="1">
      <alignment horizontal="center" vertical="top"/>
    </xf>
    <xf numFmtId="165" fontId="6" fillId="21" borderId="8" xfId="0" applyNumberFormat="1" applyFont="1" applyFill="1" applyBorder="1" applyAlignment="1">
      <alignment horizontal="center" vertical="top"/>
    </xf>
    <xf numFmtId="0" fontId="26" fillId="21" borderId="8" xfId="0" applyFont="1" applyFill="1" applyBorder="1"/>
    <xf numFmtId="0" fontId="6" fillId="21" borderId="8" xfId="0" applyFont="1" applyFill="1" applyBorder="1" applyAlignment="1">
      <alignment vertical="top" wrapText="1"/>
    </xf>
    <xf numFmtId="18" fontId="7" fillId="21" borderId="5" xfId="0" applyNumberFormat="1" applyFont="1" applyFill="1" applyBorder="1" applyAlignment="1">
      <alignment vertical="top" wrapText="1"/>
    </xf>
    <xf numFmtId="18" fontId="7" fillId="21" borderId="1" xfId="0" applyNumberFormat="1" applyFont="1" applyFill="1" applyBorder="1" applyAlignment="1">
      <alignment vertical="top" wrapText="1"/>
    </xf>
    <xf numFmtId="0" fontId="7" fillId="21" borderId="8" xfId="0" quotePrefix="1" applyFont="1" applyFill="1" applyBorder="1" applyAlignment="1">
      <alignment vertical="top" wrapText="1"/>
    </xf>
    <xf numFmtId="0" fontId="6" fillId="21" borderId="10" xfId="0" applyFont="1" applyFill="1" applyBorder="1" applyAlignment="1">
      <alignment vertical="top" wrapText="1"/>
    </xf>
    <xf numFmtId="0" fontId="7" fillId="21" borderId="8" xfId="0" applyFont="1" applyFill="1" applyBorder="1" applyAlignment="1">
      <alignment horizontal="left" vertical="top" wrapText="1"/>
    </xf>
    <xf numFmtId="0" fontId="7" fillId="21" borderId="8" xfId="0" applyFont="1" applyFill="1" applyBorder="1" applyAlignment="1">
      <alignment vertical="top" wrapText="1"/>
    </xf>
    <xf numFmtId="18" fontId="7" fillId="21" borderId="0" xfId="0" applyNumberFormat="1" applyFont="1" applyFill="1" applyAlignment="1">
      <alignment vertical="top" wrapText="1"/>
    </xf>
    <xf numFmtId="0" fontId="7" fillId="21" borderId="9" xfId="0" applyFont="1" applyFill="1" applyBorder="1" applyAlignment="1">
      <alignment vertical="top" wrapText="1"/>
    </xf>
    <xf numFmtId="18" fontId="7" fillId="21" borderId="8" xfId="0" applyNumberFormat="1" applyFont="1" applyFill="1" applyBorder="1" applyAlignment="1">
      <alignment vertical="top" wrapText="1"/>
    </xf>
    <xf numFmtId="0" fontId="7" fillId="21" borderId="0" xfId="0" applyFont="1" applyFill="1" applyAlignment="1">
      <alignment vertical="top" wrapText="1"/>
    </xf>
    <xf numFmtId="0" fontId="7" fillId="21" borderId="2" xfId="0" applyFont="1" applyFill="1" applyBorder="1" applyAlignment="1">
      <alignment vertical="top"/>
    </xf>
    <xf numFmtId="0" fontId="6" fillId="21" borderId="1" xfId="0" applyFont="1" applyFill="1" applyBorder="1" applyAlignment="1">
      <alignment vertical="top" wrapText="1"/>
    </xf>
    <xf numFmtId="0" fontId="7" fillId="21" borderId="6" xfId="0" applyFont="1" applyFill="1" applyBorder="1" applyAlignment="1">
      <alignment horizontal="left" vertical="top" wrapText="1"/>
    </xf>
    <xf numFmtId="0" fontId="2" fillId="21" borderId="1" xfId="0" applyFont="1" applyFill="1" applyBorder="1" applyAlignment="1">
      <alignment horizontal="left" vertical="top"/>
    </xf>
    <xf numFmtId="0" fontId="24" fillId="21" borderId="1" xfId="0" applyFont="1" applyFill="1" applyBorder="1" applyAlignment="1">
      <alignment wrapText="1"/>
    </xf>
    <xf numFmtId="0" fontId="28" fillId="21" borderId="4" xfId="0" applyFont="1" applyFill="1" applyBorder="1" applyAlignment="1">
      <alignment wrapText="1"/>
    </xf>
    <xf numFmtId="0" fontId="7" fillId="21" borderId="9" xfId="0" applyFont="1" applyFill="1" applyBorder="1" applyAlignment="1">
      <alignment horizontal="left" vertical="top" wrapText="1"/>
    </xf>
    <xf numFmtId="0" fontId="6" fillId="22" borderId="6" xfId="0" applyFont="1" applyFill="1" applyBorder="1" applyAlignment="1">
      <alignment vertical="top"/>
    </xf>
    <xf numFmtId="0" fontId="6" fillId="22" borderId="1" xfId="0" quotePrefix="1" applyFont="1" applyFill="1" applyBorder="1" applyAlignment="1">
      <alignment vertical="top" wrapText="1"/>
    </xf>
    <xf numFmtId="165" fontId="6" fillId="22" borderId="1" xfId="0" applyNumberFormat="1" applyFont="1" applyFill="1" applyBorder="1" applyAlignment="1">
      <alignment horizontal="center" vertical="top"/>
    </xf>
    <xf numFmtId="0" fontId="14" fillId="22" borderId="1" xfId="0" applyFont="1" applyFill="1" applyBorder="1" applyAlignment="1">
      <alignment wrapText="1"/>
    </xf>
    <xf numFmtId="0" fontId="12" fillId="22" borderId="1" xfId="0" applyFont="1" applyFill="1" applyBorder="1" applyAlignment="1">
      <alignment horizontal="left" vertical="top"/>
    </xf>
    <xf numFmtId="0" fontId="13" fillId="22" borderId="1" xfId="0" applyFont="1" applyFill="1" applyBorder="1" applyAlignment="1">
      <alignment vertical="center" wrapText="1"/>
    </xf>
    <xf numFmtId="0" fontId="7" fillId="22" borderId="1" xfId="0" applyFont="1" applyFill="1" applyBorder="1" applyAlignment="1">
      <alignment horizontal="left" vertical="top" wrapText="1"/>
    </xf>
    <xf numFmtId="0" fontId="17" fillId="22" borderId="4" xfId="0" applyFont="1" applyFill="1" applyBorder="1" applyAlignment="1">
      <alignment wrapText="1"/>
    </xf>
    <xf numFmtId="0" fontId="14" fillId="22" borderId="1" xfId="0" applyFont="1" applyFill="1" applyBorder="1" applyAlignment="1">
      <alignment horizontal="left" vertical="top"/>
    </xf>
    <xf numFmtId="0" fontId="12" fillId="22" borderId="1" xfId="0" applyFont="1" applyFill="1" applyBorder="1" applyAlignment="1">
      <alignment wrapText="1"/>
    </xf>
    <xf numFmtId="0" fontId="3" fillId="22" borderId="0" xfId="0" applyFont="1" applyFill="1" applyAlignment="1">
      <alignment horizontal="left" vertical="top"/>
    </xf>
    <xf numFmtId="0" fontId="6" fillId="22" borderId="1" xfId="0" applyFont="1" applyFill="1" applyBorder="1" applyAlignment="1">
      <alignment vertical="top"/>
    </xf>
    <xf numFmtId="0" fontId="7" fillId="22" borderId="8" xfId="0" applyFont="1" applyFill="1" applyBorder="1" applyAlignment="1">
      <alignment horizontal="center" vertical="top"/>
    </xf>
    <xf numFmtId="0" fontId="7" fillId="22" borderId="8" xfId="0" applyFont="1" applyFill="1" applyBorder="1" applyAlignment="1">
      <alignment horizontal="left" vertical="top"/>
    </xf>
    <xf numFmtId="0" fontId="7" fillId="22" borderId="8" xfId="0" applyFont="1" applyFill="1" applyBorder="1" applyAlignment="1">
      <alignment vertical="top"/>
    </xf>
    <xf numFmtId="0" fontId="7" fillId="22" borderId="8" xfId="0" applyFont="1" applyFill="1" applyBorder="1" applyAlignment="1">
      <alignment vertical="top" wrapText="1"/>
    </xf>
    <xf numFmtId="0" fontId="7" fillId="22" borderId="0" xfId="0" applyFont="1" applyFill="1" applyAlignment="1">
      <alignment vertical="top" wrapText="1"/>
    </xf>
    <xf numFmtId="0" fontId="7" fillId="22" borderId="2" xfId="0" applyFont="1" applyFill="1" applyBorder="1" applyAlignment="1">
      <alignment vertical="top"/>
    </xf>
    <xf numFmtId="0" fontId="7" fillId="22" borderId="6" xfId="0" applyFont="1" applyFill="1" applyBorder="1" applyAlignment="1">
      <alignment vertical="top" wrapText="1"/>
    </xf>
    <xf numFmtId="165" fontId="6" fillId="22" borderId="10" xfId="0" applyNumberFormat="1" applyFont="1" applyFill="1" applyBorder="1" applyAlignment="1">
      <alignment horizontal="center" vertical="top"/>
    </xf>
    <xf numFmtId="0" fontId="3" fillId="22" borderId="1" xfId="0" applyFont="1" applyFill="1" applyBorder="1" applyAlignment="1">
      <alignment horizontal="left" vertical="top"/>
    </xf>
    <xf numFmtId="0" fontId="26" fillId="22" borderId="8" xfId="0" applyFont="1" applyFill="1" applyBorder="1"/>
    <xf numFmtId="0" fontId="6" fillId="22" borderId="8" xfId="0" applyFont="1" applyFill="1" applyBorder="1" applyAlignment="1">
      <alignment vertical="top" wrapText="1"/>
    </xf>
    <xf numFmtId="18" fontId="7" fillId="22" borderId="5" xfId="0" applyNumberFormat="1" applyFont="1" applyFill="1" applyBorder="1" applyAlignment="1">
      <alignment vertical="top" wrapText="1"/>
    </xf>
    <xf numFmtId="18" fontId="7" fillId="22" borderId="8" xfId="0" applyNumberFormat="1" applyFont="1" applyFill="1" applyBorder="1" applyAlignment="1">
      <alignment vertical="top" wrapText="1"/>
    </xf>
    <xf numFmtId="0" fontId="7" fillId="22" borderId="8" xfId="0" quotePrefix="1" applyFont="1" applyFill="1" applyBorder="1" applyAlignment="1">
      <alignment vertical="top" wrapText="1"/>
    </xf>
    <xf numFmtId="0" fontId="7" fillId="22" borderId="8" xfId="0" applyFont="1" applyFill="1" applyBorder="1" applyAlignment="1">
      <alignment horizontal="left" vertical="top" wrapText="1"/>
    </xf>
    <xf numFmtId="0" fontId="7" fillId="22" borderId="9" xfId="0" applyFont="1" applyFill="1" applyBorder="1" applyAlignment="1">
      <alignment vertical="top" wrapText="1"/>
    </xf>
    <xf numFmtId="0" fontId="6" fillId="22" borderId="10" xfId="0" applyFont="1" applyFill="1" applyBorder="1" applyAlignment="1">
      <alignment vertical="top" wrapText="1"/>
    </xf>
    <xf numFmtId="165" fontId="7" fillId="22" borderId="1" xfId="0" applyNumberFormat="1" applyFont="1" applyFill="1" applyBorder="1" applyAlignment="1">
      <alignment vertical="center"/>
    </xf>
    <xf numFmtId="0" fontId="7" fillId="22" borderId="8" xfId="0" applyFont="1" applyFill="1" applyBorder="1" applyAlignment="1">
      <alignment vertical="center" wrapText="1"/>
    </xf>
    <xf numFmtId="0" fontId="28" fillId="22" borderId="4" xfId="0" applyFont="1" applyFill="1" applyBorder="1" applyAlignment="1">
      <alignment wrapText="1"/>
    </xf>
    <xf numFmtId="0" fontId="24" fillId="22" borderId="1" xfId="0" applyFont="1" applyFill="1" applyBorder="1" applyAlignment="1">
      <alignment wrapText="1"/>
    </xf>
    <xf numFmtId="0" fontId="6" fillId="23" borderId="1" xfId="0" applyFont="1" applyFill="1" applyBorder="1" applyAlignment="1">
      <alignment vertical="top"/>
    </xf>
    <xf numFmtId="0" fontId="6" fillId="23" borderId="1" xfId="0" applyFont="1" applyFill="1" applyBorder="1" applyAlignment="1">
      <alignment horizontal="center" vertical="top" wrapText="1"/>
    </xf>
    <xf numFmtId="0" fontId="6" fillId="23" borderId="1" xfId="0" applyFont="1" applyFill="1" applyBorder="1" applyAlignment="1">
      <alignment horizontal="left" vertical="top"/>
    </xf>
    <xf numFmtId="0" fontId="12" fillId="23" borderId="1" xfId="0" applyFont="1" applyFill="1" applyBorder="1"/>
    <xf numFmtId="0" fontId="6" fillId="23" borderId="1" xfId="0" applyFont="1" applyFill="1" applyBorder="1" applyAlignment="1">
      <alignment vertical="top" wrapText="1"/>
    </xf>
    <xf numFmtId="0" fontId="6" fillId="23" borderId="6" xfId="0" applyFont="1" applyFill="1" applyBorder="1" applyAlignment="1">
      <alignment vertical="top"/>
    </xf>
    <xf numFmtId="0" fontId="6" fillId="23" borderId="8" xfId="0" applyFont="1" applyFill="1" applyBorder="1" applyAlignment="1">
      <alignment vertical="top"/>
    </xf>
    <xf numFmtId="165" fontId="6" fillId="23" borderId="8" xfId="0" applyNumberFormat="1" applyFont="1" applyFill="1" applyBorder="1" applyAlignment="1">
      <alignment horizontal="center" vertical="top"/>
    </xf>
    <xf numFmtId="0" fontId="26" fillId="23" borderId="8" xfId="0" applyFont="1" applyFill="1" applyBorder="1"/>
    <xf numFmtId="0" fontId="6" fillId="23" borderId="8" xfId="0" applyFont="1" applyFill="1" applyBorder="1" applyAlignment="1">
      <alignment vertical="top" wrapText="1"/>
    </xf>
    <xf numFmtId="18" fontId="6" fillId="23" borderId="5" xfId="0" applyNumberFormat="1" applyFont="1" applyFill="1" applyBorder="1" applyAlignment="1">
      <alignment vertical="top" wrapText="1"/>
    </xf>
    <xf numFmtId="18" fontId="6" fillId="23" borderId="1" xfId="0" applyNumberFormat="1" applyFont="1" applyFill="1" applyBorder="1" applyAlignment="1">
      <alignment vertical="top" wrapText="1"/>
    </xf>
    <xf numFmtId="0" fontId="10" fillId="23" borderId="1" xfId="0" applyFont="1" applyFill="1" applyBorder="1" applyAlignment="1">
      <alignment vertical="top"/>
    </xf>
    <xf numFmtId="0" fontId="10" fillId="23" borderId="1" xfId="0" applyFont="1" applyFill="1" applyBorder="1" applyAlignment="1">
      <alignment horizontal="left" vertical="top"/>
    </xf>
    <xf numFmtId="18" fontId="6" fillId="23" borderId="1" xfId="0" applyNumberFormat="1" applyFont="1" applyFill="1" applyBorder="1" applyAlignment="1">
      <alignment vertical="top"/>
    </xf>
    <xf numFmtId="0" fontId="6" fillId="23" borderId="10" xfId="0" applyFont="1" applyFill="1" applyBorder="1" applyAlignment="1">
      <alignment vertical="top" wrapText="1"/>
    </xf>
    <xf numFmtId="165" fontId="6" fillId="23" borderId="1" xfId="0" applyNumberFormat="1" applyFont="1" applyFill="1" applyBorder="1" applyAlignment="1">
      <alignment horizontal="center" vertical="top"/>
    </xf>
    <xf numFmtId="0" fontId="6" fillId="23" borderId="1" xfId="0" applyFont="1" applyFill="1" applyBorder="1" applyAlignment="1">
      <alignment horizontal="left" vertical="top" wrapText="1"/>
    </xf>
    <xf numFmtId="0" fontId="7" fillId="23" borderId="1" xfId="0" applyFont="1" applyFill="1" applyBorder="1" applyAlignment="1">
      <alignment horizontal="left" vertical="top" wrapText="1"/>
    </xf>
    <xf numFmtId="0" fontId="28" fillId="23" borderId="4" xfId="0" applyFont="1" applyFill="1" applyBorder="1" applyAlignment="1">
      <alignment wrapText="1"/>
    </xf>
    <xf numFmtId="0" fontId="0" fillId="23" borderId="1" xfId="0" applyFill="1" applyBorder="1" applyAlignment="1">
      <alignment horizontal="left" vertical="top"/>
    </xf>
    <xf numFmtId="0" fontId="12" fillId="23" borderId="1" xfId="0" applyFont="1" applyFill="1" applyBorder="1" applyAlignment="1">
      <alignment wrapText="1"/>
    </xf>
    <xf numFmtId="0" fontId="3" fillId="23" borderId="0" xfId="0" applyFont="1" applyFill="1" applyAlignment="1">
      <alignment horizontal="left" vertical="top"/>
    </xf>
    <xf numFmtId="0" fontId="7" fillId="23" borderId="1" xfId="0" applyFont="1" applyFill="1" applyBorder="1" applyAlignment="1">
      <alignment horizontal="center" vertical="top"/>
    </xf>
    <xf numFmtId="0" fontId="7" fillId="23" borderId="1" xfId="0" applyFont="1" applyFill="1" applyBorder="1" applyAlignment="1">
      <alignment horizontal="left" vertical="top"/>
    </xf>
    <xf numFmtId="0" fontId="7" fillId="23" borderId="8" xfId="0" applyFont="1" applyFill="1" applyBorder="1" applyAlignment="1">
      <alignment horizontal="left" vertical="top"/>
    </xf>
    <xf numFmtId="0" fontId="7" fillId="23" borderId="1" xfId="0" applyFont="1" applyFill="1" applyBorder="1" applyAlignment="1">
      <alignment vertical="top"/>
    </xf>
    <xf numFmtId="0" fontId="7" fillId="23" borderId="1" xfId="0" applyFont="1" applyFill="1" applyBorder="1" applyAlignment="1">
      <alignment vertical="top" wrapText="1"/>
    </xf>
    <xf numFmtId="0" fontId="7" fillId="23" borderId="8" xfId="0" applyFont="1" applyFill="1" applyBorder="1" applyAlignment="1">
      <alignment vertical="top"/>
    </xf>
    <xf numFmtId="0" fontId="7" fillId="23" borderId="6" xfId="0" applyFont="1" applyFill="1" applyBorder="1" applyAlignment="1">
      <alignment vertical="top" wrapText="1"/>
    </xf>
    <xf numFmtId="0" fontId="7" fillId="23" borderId="8" xfId="0" applyFont="1" applyFill="1" applyBorder="1" applyAlignment="1">
      <alignment vertical="center" wrapText="1"/>
    </xf>
    <xf numFmtId="165" fontId="6" fillId="23" borderId="10" xfId="0" applyNumberFormat="1" applyFont="1" applyFill="1" applyBorder="1" applyAlignment="1">
      <alignment horizontal="center" vertical="top"/>
    </xf>
    <xf numFmtId="18" fontId="7" fillId="23" borderId="5" xfId="0" applyNumberFormat="1" applyFont="1" applyFill="1" applyBorder="1" applyAlignment="1">
      <alignment vertical="top" wrapText="1"/>
    </xf>
    <xf numFmtId="18" fontId="7" fillId="23" borderId="1" xfId="0" applyNumberFormat="1" applyFont="1" applyFill="1" applyBorder="1" applyAlignment="1">
      <alignment vertical="top" wrapText="1"/>
    </xf>
    <xf numFmtId="0" fontId="7" fillId="23" borderId="8" xfId="0" quotePrefix="1" applyFont="1" applyFill="1" applyBorder="1" applyAlignment="1">
      <alignment vertical="top" wrapText="1"/>
    </xf>
    <xf numFmtId="0" fontId="7" fillId="23" borderId="8" xfId="0" applyFont="1" applyFill="1" applyBorder="1" applyAlignment="1">
      <alignment horizontal="center" vertical="top"/>
    </xf>
    <xf numFmtId="0" fontId="7" fillId="23" borderId="8" xfId="0" applyFont="1" applyFill="1" applyBorder="1" applyAlignment="1">
      <alignment horizontal="left" vertical="top" wrapText="1"/>
    </xf>
    <xf numFmtId="0" fontId="7" fillId="23" borderId="8" xfId="0" applyFont="1" applyFill="1" applyBorder="1" applyAlignment="1">
      <alignment vertical="top" wrapText="1"/>
    </xf>
    <xf numFmtId="18" fontId="7" fillId="23" borderId="0" xfId="0" applyNumberFormat="1" applyFont="1" applyFill="1" applyAlignment="1">
      <alignment vertical="top" wrapText="1"/>
    </xf>
    <xf numFmtId="0" fontId="7" fillId="23" borderId="9" xfId="0" applyFont="1" applyFill="1" applyBorder="1" applyAlignment="1">
      <alignment vertical="top" wrapText="1"/>
    </xf>
    <xf numFmtId="18" fontId="7" fillId="23" borderId="8" xfId="0" applyNumberFormat="1" applyFont="1" applyFill="1" applyBorder="1" applyAlignment="1">
      <alignment vertical="top" wrapText="1"/>
    </xf>
    <xf numFmtId="0" fontId="7" fillId="23" borderId="0" xfId="0" applyFont="1" applyFill="1" applyAlignment="1">
      <alignment vertical="top" wrapText="1"/>
    </xf>
    <xf numFmtId="0" fontId="7" fillId="23" borderId="2" xfId="0" applyFont="1" applyFill="1" applyBorder="1" applyAlignment="1">
      <alignment vertical="top"/>
    </xf>
    <xf numFmtId="165" fontId="7" fillId="23" borderId="1" xfId="0" applyNumberFormat="1" applyFont="1" applyFill="1" applyBorder="1" applyAlignment="1">
      <alignment vertical="center"/>
    </xf>
    <xf numFmtId="0" fontId="2" fillId="23" borderId="1" xfId="0" applyFont="1" applyFill="1" applyBorder="1" applyAlignment="1">
      <alignment horizontal="left" vertical="top"/>
    </xf>
    <xf numFmtId="0" fontId="24" fillId="23" borderId="1" xfId="0" applyFont="1" applyFill="1" applyBorder="1" applyAlignment="1">
      <alignment wrapText="1"/>
    </xf>
    <xf numFmtId="0" fontId="6" fillId="24" borderId="1" xfId="0" applyFont="1" applyFill="1" applyBorder="1" applyAlignment="1">
      <alignment vertical="top"/>
    </xf>
    <xf numFmtId="0" fontId="7" fillId="24" borderId="8" xfId="0" applyFont="1" applyFill="1" applyBorder="1" applyAlignment="1">
      <alignment horizontal="center" vertical="top" wrapText="1"/>
    </xf>
    <xf numFmtId="0" fontId="6" fillId="24" borderId="8" xfId="0" applyFont="1" applyFill="1" applyBorder="1" applyAlignment="1">
      <alignment horizontal="left" vertical="top"/>
    </xf>
    <xf numFmtId="0" fontId="12" fillId="24" borderId="8" xfId="0" applyFont="1" applyFill="1" applyBorder="1"/>
    <xf numFmtId="0" fontId="6" fillId="24" borderId="8" xfId="0" applyFont="1" applyFill="1" applyBorder="1" applyAlignment="1">
      <alignment vertical="top" wrapText="1"/>
    </xf>
    <xf numFmtId="0" fontId="6" fillId="24" borderId="6" xfId="0" applyFont="1" applyFill="1" applyBorder="1" applyAlignment="1">
      <alignment vertical="top"/>
    </xf>
    <xf numFmtId="165" fontId="6" fillId="24" borderId="8" xfId="0" applyNumberFormat="1" applyFont="1" applyFill="1" applyBorder="1" applyAlignment="1">
      <alignment horizontal="center" vertical="top"/>
    </xf>
    <xf numFmtId="0" fontId="26" fillId="24" borderId="8" xfId="0" applyFont="1" applyFill="1" applyBorder="1"/>
    <xf numFmtId="0" fontId="6" fillId="24" borderId="5" xfId="0" applyFont="1" applyFill="1" applyBorder="1" applyAlignment="1">
      <alignment vertical="top"/>
    </xf>
    <xf numFmtId="0" fontId="6" fillId="24" borderId="8" xfId="0" applyFont="1" applyFill="1" applyBorder="1" applyAlignment="1">
      <alignment vertical="top"/>
    </xf>
    <xf numFmtId="0" fontId="6" fillId="24" borderId="9" xfId="0" applyFont="1" applyFill="1" applyBorder="1" applyAlignment="1">
      <alignment vertical="top" wrapText="1"/>
    </xf>
    <xf numFmtId="0" fontId="6" fillId="24" borderId="10" xfId="0" applyFont="1" applyFill="1" applyBorder="1" applyAlignment="1">
      <alignment vertical="top" wrapText="1"/>
    </xf>
    <xf numFmtId="0" fontId="7" fillId="24" borderId="1" xfId="0" applyFont="1" applyFill="1" applyBorder="1" applyAlignment="1">
      <alignment horizontal="left" vertical="top" wrapText="1"/>
    </xf>
    <xf numFmtId="0" fontId="28" fillId="24" borderId="4" xfId="0" applyFont="1" applyFill="1" applyBorder="1" applyAlignment="1">
      <alignment wrapText="1"/>
    </xf>
    <xf numFmtId="0" fontId="12" fillId="24" borderId="1" xfId="0" applyFont="1" applyFill="1" applyBorder="1" applyAlignment="1">
      <alignment wrapText="1"/>
    </xf>
    <xf numFmtId="0" fontId="25" fillId="24" borderId="0" xfId="0" applyFont="1" applyFill="1" applyAlignment="1">
      <alignment horizontal="left" vertical="top"/>
    </xf>
    <xf numFmtId="0" fontId="7" fillId="24" borderId="8" xfId="0" applyFont="1" applyFill="1" applyBorder="1" applyAlignment="1">
      <alignment horizontal="center" vertical="top"/>
    </xf>
    <xf numFmtId="0" fontId="7" fillId="24" borderId="8" xfId="0" applyFont="1" applyFill="1" applyBorder="1" applyAlignment="1">
      <alignment horizontal="left" vertical="top"/>
    </xf>
    <xf numFmtId="0" fontId="7" fillId="24" borderId="8" xfId="0" applyFont="1" applyFill="1" applyBorder="1" applyAlignment="1">
      <alignment horizontal="left" vertical="top" wrapText="1"/>
    </xf>
    <xf numFmtId="0" fontId="7" fillId="24" borderId="8" xfId="0" applyFont="1" applyFill="1" applyBorder="1" applyAlignment="1">
      <alignment vertical="top"/>
    </xf>
    <xf numFmtId="0" fontId="7" fillId="24" borderId="8" xfId="0" applyFont="1" applyFill="1" applyBorder="1" applyAlignment="1">
      <alignment vertical="top" wrapText="1"/>
    </xf>
    <xf numFmtId="0" fontId="7" fillId="24" borderId="6" xfId="0" applyFont="1" applyFill="1" applyBorder="1" applyAlignment="1">
      <alignment vertical="top" wrapText="1"/>
    </xf>
    <xf numFmtId="165" fontId="6" fillId="24" borderId="10" xfId="0" applyNumberFormat="1" applyFont="1" applyFill="1" applyBorder="1" applyAlignment="1">
      <alignment horizontal="center" vertical="top"/>
    </xf>
    <xf numFmtId="18" fontId="7" fillId="24" borderId="5" xfId="0" applyNumberFormat="1" applyFont="1" applyFill="1" applyBorder="1" applyAlignment="1">
      <alignment vertical="top" wrapText="1"/>
    </xf>
    <xf numFmtId="18" fontId="7" fillId="24" borderId="0" xfId="0" applyNumberFormat="1" applyFont="1" applyFill="1" applyAlignment="1">
      <alignment vertical="top" wrapText="1"/>
    </xf>
    <xf numFmtId="0" fontId="7" fillId="24" borderId="8" xfId="0" quotePrefix="1" applyFont="1" applyFill="1" applyBorder="1" applyAlignment="1">
      <alignment vertical="top" wrapText="1"/>
    </xf>
    <xf numFmtId="0" fontId="7" fillId="24" borderId="9" xfId="0" applyFont="1" applyFill="1" applyBorder="1" applyAlignment="1">
      <alignment vertical="top" wrapText="1"/>
    </xf>
    <xf numFmtId="18" fontId="7" fillId="24" borderId="8" xfId="0" applyNumberFormat="1" applyFont="1" applyFill="1" applyBorder="1" applyAlignment="1">
      <alignment vertical="top" wrapText="1"/>
    </xf>
    <xf numFmtId="0" fontId="7" fillId="24" borderId="0" xfId="0" applyFont="1" applyFill="1" applyAlignment="1">
      <alignment vertical="top" wrapText="1"/>
    </xf>
    <xf numFmtId="0" fontId="7" fillId="24" borderId="2" xfId="0" applyFont="1" applyFill="1" applyBorder="1" applyAlignment="1">
      <alignment vertical="top"/>
    </xf>
    <xf numFmtId="0" fontId="7" fillId="24" borderId="8" xfId="0" applyFont="1" applyFill="1" applyBorder="1" applyAlignment="1">
      <alignment vertical="center" wrapText="1"/>
    </xf>
    <xf numFmtId="0" fontId="7" fillId="24" borderId="1" xfId="0" applyFont="1" applyFill="1" applyBorder="1" applyAlignment="1">
      <alignment vertical="top"/>
    </xf>
    <xf numFmtId="0" fontId="7" fillId="24" borderId="1" xfId="0" applyFont="1" applyFill="1" applyBorder="1" applyAlignment="1">
      <alignment vertical="top" wrapText="1"/>
    </xf>
    <xf numFmtId="0" fontId="7" fillId="24" borderId="1" xfId="0" quotePrefix="1" applyFont="1" applyFill="1" applyBorder="1" applyAlignment="1">
      <alignment vertical="top" wrapText="1"/>
    </xf>
    <xf numFmtId="0" fontId="7" fillId="24" borderId="1" xfId="0" applyFont="1" applyFill="1" applyBorder="1" applyAlignment="1">
      <alignment horizontal="left" vertical="top"/>
    </xf>
    <xf numFmtId="18" fontId="7" fillId="24" borderId="1" xfId="0" applyNumberFormat="1" applyFont="1" applyFill="1" applyBorder="1" applyAlignment="1">
      <alignment vertical="top" wrapText="1"/>
    </xf>
    <xf numFmtId="165" fontId="7" fillId="24" borderId="1" xfId="0" applyNumberFormat="1" applyFont="1" applyFill="1" applyBorder="1" applyAlignment="1">
      <alignment vertical="center"/>
    </xf>
    <xf numFmtId="0" fontId="2" fillId="24" borderId="1" xfId="0" applyFont="1" applyFill="1" applyBorder="1" applyAlignment="1">
      <alignment horizontal="left" vertical="top"/>
    </xf>
    <xf numFmtId="0" fontId="24" fillId="24" borderId="1" xfId="0" applyFont="1" applyFill="1" applyBorder="1" applyAlignment="1">
      <alignment wrapText="1"/>
    </xf>
    <xf numFmtId="0" fontId="3" fillId="24" borderId="0" xfId="0" applyFont="1" applyFill="1" applyAlignment="1">
      <alignment horizontal="left" vertical="top"/>
    </xf>
    <xf numFmtId="0" fontId="6" fillId="25" borderId="1" xfId="0" applyFont="1" applyFill="1" applyBorder="1" applyAlignment="1">
      <alignment vertical="top"/>
    </xf>
    <xf numFmtId="0" fontId="7" fillId="25" borderId="8" xfId="0" applyFont="1" applyFill="1" applyBorder="1" applyAlignment="1">
      <alignment horizontal="center" vertical="top" wrapText="1"/>
    </xf>
    <xf numFmtId="0" fontId="7" fillId="25" borderId="8" xfId="0" applyFont="1" applyFill="1" applyBorder="1" applyAlignment="1">
      <alignment vertical="top" wrapText="1"/>
    </xf>
    <xf numFmtId="0" fontId="7" fillId="25" borderId="8" xfId="0" applyFont="1" applyFill="1" applyBorder="1" applyAlignment="1">
      <alignment horizontal="left" vertical="top"/>
    </xf>
    <xf numFmtId="0" fontId="7" fillId="25" borderId="8" xfId="0" applyFont="1" applyFill="1" applyBorder="1" applyAlignment="1">
      <alignment horizontal="left" vertical="top" wrapText="1"/>
    </xf>
    <xf numFmtId="0" fontId="7" fillId="25" borderId="8" xfId="0" applyFont="1" applyFill="1" applyBorder="1" applyAlignment="1">
      <alignment vertical="top"/>
    </xf>
    <xf numFmtId="0" fontId="7" fillId="25" borderId="6" xfId="0" applyFont="1" applyFill="1" applyBorder="1" applyAlignment="1">
      <alignment vertical="top"/>
    </xf>
    <xf numFmtId="165" fontId="6" fillId="25" borderId="10" xfId="0" applyNumberFormat="1" applyFont="1" applyFill="1" applyBorder="1" applyAlignment="1">
      <alignment horizontal="center" vertical="top"/>
    </xf>
    <xf numFmtId="18" fontId="7" fillId="25" borderId="8" xfId="0" applyNumberFormat="1" applyFont="1" applyFill="1" applyBorder="1" applyAlignment="1">
      <alignment vertical="top" wrapText="1"/>
    </xf>
    <xf numFmtId="165" fontId="6" fillId="25" borderId="8" xfId="0" applyNumberFormat="1" applyFont="1" applyFill="1" applyBorder="1" applyAlignment="1">
      <alignment horizontal="center" vertical="top"/>
    </xf>
    <xf numFmtId="18" fontId="7" fillId="25" borderId="5" xfId="0" applyNumberFormat="1" applyFont="1" applyFill="1" applyBorder="1" applyAlignment="1">
      <alignment vertical="top" wrapText="1"/>
    </xf>
    <xf numFmtId="0" fontId="7" fillId="25" borderId="9" xfId="0" applyFont="1" applyFill="1" applyBorder="1" applyAlignment="1">
      <alignment vertical="top" wrapText="1"/>
    </xf>
    <xf numFmtId="0" fontId="6" fillId="25" borderId="10" xfId="0" applyFont="1" applyFill="1" applyBorder="1" applyAlignment="1">
      <alignment vertical="top" wrapText="1"/>
    </xf>
    <xf numFmtId="0" fontId="7" fillId="25" borderId="1" xfId="0" applyFont="1" applyFill="1" applyBorder="1" applyAlignment="1">
      <alignment horizontal="left" vertical="top" wrapText="1"/>
    </xf>
    <xf numFmtId="0" fontId="28" fillId="25" borderId="4" xfId="0" applyFont="1" applyFill="1" applyBorder="1" applyAlignment="1">
      <alignment wrapText="1"/>
    </xf>
    <xf numFmtId="0" fontId="2" fillId="25" borderId="1" xfId="0" applyFont="1" applyFill="1" applyBorder="1" applyAlignment="1">
      <alignment horizontal="left" vertical="top"/>
    </xf>
    <xf numFmtId="0" fontId="24" fillId="25" borderId="1" xfId="0" applyFont="1" applyFill="1" applyBorder="1" applyAlignment="1">
      <alignment wrapText="1"/>
    </xf>
    <xf numFmtId="0" fontId="25" fillId="25" borderId="0" xfId="0" applyFont="1" applyFill="1" applyAlignment="1">
      <alignment horizontal="left" vertical="top"/>
    </xf>
    <xf numFmtId="0" fontId="7" fillId="25" borderId="8" xfId="0" applyFont="1" applyFill="1" applyBorder="1" applyAlignment="1">
      <alignment horizontal="center" vertical="top"/>
    </xf>
    <xf numFmtId="0" fontId="7" fillId="25" borderId="6" xfId="0" applyFont="1" applyFill="1" applyBorder="1" applyAlignment="1">
      <alignment vertical="top" wrapText="1"/>
    </xf>
    <xf numFmtId="0" fontId="26" fillId="25" borderId="8" xfId="0" applyFont="1" applyFill="1" applyBorder="1"/>
    <xf numFmtId="0" fontId="6" fillId="25" borderId="8" xfId="0" applyFont="1" applyFill="1" applyBorder="1" applyAlignment="1">
      <alignment vertical="top" wrapText="1"/>
    </xf>
    <xf numFmtId="18" fontId="7" fillId="25" borderId="0" xfId="0" applyNumberFormat="1" applyFont="1" applyFill="1" applyAlignment="1">
      <alignment vertical="top" wrapText="1"/>
    </xf>
    <xf numFmtId="0" fontId="7" fillId="25" borderId="8" xfId="0" quotePrefix="1" applyFont="1" applyFill="1" applyBorder="1" applyAlignment="1">
      <alignment vertical="top" wrapText="1"/>
    </xf>
    <xf numFmtId="165" fontId="7" fillId="25" borderId="1" xfId="0" applyNumberFormat="1" applyFont="1" applyFill="1" applyBorder="1" applyAlignment="1">
      <alignment vertical="center"/>
    </xf>
    <xf numFmtId="0" fontId="3" fillId="25" borderId="0" xfId="0" applyFont="1" applyFill="1" applyAlignment="1">
      <alignment horizontal="left" vertical="top"/>
    </xf>
    <xf numFmtId="0" fontId="7" fillId="25" borderId="0" xfId="0" applyFont="1" applyFill="1" applyAlignment="1">
      <alignment vertical="top" wrapText="1"/>
    </xf>
    <xf numFmtId="0" fontId="7" fillId="25" borderId="2" xfId="0" applyFont="1" applyFill="1" applyBorder="1" applyAlignment="1">
      <alignment vertical="top"/>
    </xf>
    <xf numFmtId="0" fontId="7" fillId="25" borderId="8" xfId="0" applyFont="1" applyFill="1" applyBorder="1" applyAlignment="1">
      <alignment vertical="center" wrapText="1"/>
    </xf>
    <xf numFmtId="0" fontId="7" fillId="25" borderId="1" xfId="0" applyFont="1" applyFill="1" applyBorder="1" applyAlignment="1">
      <alignment horizontal="center" vertical="top"/>
    </xf>
    <xf numFmtId="0" fontId="7" fillId="25" borderId="1" xfId="0" applyFont="1" applyFill="1" applyBorder="1" applyAlignment="1">
      <alignment horizontal="left" vertical="top"/>
    </xf>
    <xf numFmtId="0" fontId="7" fillId="25" borderId="1" xfId="0" applyFont="1" applyFill="1" applyBorder="1" applyAlignment="1">
      <alignment vertical="top"/>
    </xf>
    <xf numFmtId="0" fontId="7" fillId="25" borderId="1" xfId="0" applyFont="1" applyFill="1" applyBorder="1" applyAlignment="1">
      <alignment vertical="top" wrapText="1"/>
    </xf>
    <xf numFmtId="18" fontId="7" fillId="25" borderId="1" xfId="0" applyNumberFormat="1" applyFont="1" applyFill="1" applyBorder="1" applyAlignment="1">
      <alignment vertical="top" wrapText="1"/>
    </xf>
    <xf numFmtId="0" fontId="7" fillId="25" borderId="1" xfId="0" quotePrefix="1" applyFont="1" applyFill="1" applyBorder="1" applyAlignment="1">
      <alignment vertical="top" wrapText="1"/>
    </xf>
    <xf numFmtId="0" fontId="6" fillId="25" borderId="1" xfId="0" applyFont="1" applyFill="1" applyBorder="1" applyAlignment="1">
      <alignment vertical="top" wrapText="1"/>
    </xf>
    <xf numFmtId="0" fontId="12" fillId="0" borderId="0" xfId="0" applyFont="1" applyAlignment="1">
      <alignment wrapText="1"/>
    </xf>
    <xf numFmtId="0" fontId="6" fillId="26" borderId="1" xfId="0" applyFont="1" applyFill="1" applyBorder="1" applyAlignment="1">
      <alignment vertical="top"/>
    </xf>
    <xf numFmtId="0" fontId="7" fillId="26" borderId="1" xfId="0" applyFont="1" applyFill="1" applyBorder="1" applyAlignment="1">
      <alignment horizontal="left" vertical="top" wrapText="1"/>
    </xf>
    <xf numFmtId="165" fontId="6" fillId="26" borderId="10" xfId="0" applyNumberFormat="1" applyFont="1" applyFill="1" applyBorder="1" applyAlignment="1">
      <alignment horizontal="center" vertical="top"/>
    </xf>
    <xf numFmtId="165" fontId="6" fillId="26" borderId="8" xfId="0" applyNumberFormat="1" applyFont="1" applyFill="1" applyBorder="1" applyAlignment="1">
      <alignment horizontal="center" vertical="top"/>
    </xf>
    <xf numFmtId="0" fontId="26" fillId="26" borderId="8" xfId="0" applyFont="1" applyFill="1" applyBorder="1"/>
    <xf numFmtId="0" fontId="6" fillId="26" borderId="8" xfId="0" applyFont="1" applyFill="1" applyBorder="1" applyAlignment="1">
      <alignment vertical="top" wrapText="1"/>
    </xf>
    <xf numFmtId="0" fontId="2" fillId="26" borderId="1" xfId="0" applyFont="1" applyFill="1" applyBorder="1" applyAlignment="1">
      <alignment horizontal="left" vertical="top"/>
    </xf>
    <xf numFmtId="0" fontId="24" fillId="26" borderId="1" xfId="0" applyFont="1" applyFill="1" applyBorder="1" applyAlignment="1">
      <alignment wrapText="1"/>
    </xf>
    <xf numFmtId="0" fontId="3" fillId="26" borderId="0" xfId="0" applyFont="1" applyFill="1" applyAlignment="1">
      <alignment horizontal="left" vertical="top"/>
    </xf>
    <xf numFmtId="0" fontId="12" fillId="26" borderId="8" xfId="0" applyFont="1" applyFill="1" applyBorder="1" applyAlignment="1">
      <alignment horizontal="center" vertical="top"/>
    </xf>
    <xf numFmtId="0" fontId="13" fillId="26" borderId="1" xfId="0" applyFont="1" applyFill="1" applyBorder="1" applyAlignment="1">
      <alignment horizontal="left" vertical="top" wrapText="1"/>
    </xf>
    <xf numFmtId="0" fontId="12" fillId="26" borderId="1" xfId="0" applyFont="1" applyFill="1" applyBorder="1" applyAlignment="1">
      <alignment horizontal="left" vertical="top"/>
    </xf>
    <xf numFmtId="0" fontId="12" fillId="26" borderId="1" xfId="0" applyFont="1" applyFill="1" applyBorder="1"/>
    <xf numFmtId="0" fontId="6" fillId="26" borderId="1" xfId="0" applyFont="1" applyFill="1" applyBorder="1" applyAlignment="1">
      <alignment vertical="top" wrapText="1"/>
    </xf>
    <xf numFmtId="0" fontId="6" fillId="26" borderId="6" xfId="0" applyFont="1" applyFill="1" applyBorder="1" applyAlignment="1">
      <alignment vertical="top"/>
    </xf>
    <xf numFmtId="0" fontId="6" fillId="26" borderId="5" xfId="0" applyFont="1" applyFill="1" applyBorder="1" applyAlignment="1">
      <alignment vertical="top" wrapText="1"/>
    </xf>
    <xf numFmtId="0" fontId="12" fillId="26" borderId="8" xfId="0" applyFont="1" applyFill="1" applyBorder="1" applyAlignment="1">
      <alignment vertical="top"/>
    </xf>
    <xf numFmtId="0" fontId="12" fillId="26" borderId="8" xfId="0" applyFont="1" applyFill="1" applyBorder="1"/>
    <xf numFmtId="0" fontId="16" fillId="26" borderId="8" xfId="0" applyFont="1" applyFill="1" applyBorder="1" applyAlignment="1">
      <alignment horizontal="left" vertical="top" wrapText="1"/>
    </xf>
    <xf numFmtId="0" fontId="12" fillId="26" borderId="9" xfId="0" applyFont="1" applyFill="1" applyBorder="1" applyAlignment="1">
      <alignment horizontal="left" vertical="top"/>
    </xf>
    <xf numFmtId="0" fontId="14" fillId="26" borderId="8" xfId="0" applyFont="1" applyFill="1" applyBorder="1" applyAlignment="1">
      <alignment wrapText="1"/>
    </xf>
    <xf numFmtId="0" fontId="12" fillId="27" borderId="10" xfId="0" applyFont="1" applyFill="1" applyBorder="1" applyAlignment="1">
      <alignment horizontal="left" vertical="top"/>
    </xf>
    <xf numFmtId="0" fontId="12" fillId="26" borderId="8" xfId="0" applyFont="1" applyFill="1" applyBorder="1" applyAlignment="1">
      <alignment horizontal="left" vertical="top"/>
    </xf>
    <xf numFmtId="165" fontId="6" fillId="26" borderId="16" xfId="0" applyNumberFormat="1" applyFont="1" applyFill="1" applyBorder="1" applyAlignment="1">
      <alignment horizontal="center" vertical="top"/>
    </xf>
    <xf numFmtId="0" fontId="13" fillId="26" borderId="8" xfId="0" applyFont="1" applyFill="1" applyBorder="1" applyAlignment="1">
      <alignment vertical="center" wrapText="1"/>
    </xf>
    <xf numFmtId="0" fontId="17" fillId="26" borderId="4" xfId="0" applyFont="1" applyFill="1" applyBorder="1" applyAlignment="1">
      <alignment wrapText="1"/>
    </xf>
    <xf numFmtId="0" fontId="14" fillId="26" borderId="1" xfId="0" applyFont="1" applyFill="1" applyBorder="1" applyAlignment="1">
      <alignment horizontal="left" vertical="top"/>
    </xf>
    <xf numFmtId="0" fontId="12" fillId="26" borderId="1" xfId="0" applyFont="1" applyFill="1" applyBorder="1" applyAlignment="1">
      <alignment wrapText="1"/>
    </xf>
    <xf numFmtId="0" fontId="21" fillId="26" borderId="0" xfId="0" applyFont="1" applyFill="1" applyAlignment="1">
      <alignment horizontal="left" vertical="top"/>
    </xf>
    <xf numFmtId="0" fontId="2" fillId="19" borderId="1" xfId="0" applyFont="1" applyFill="1" applyBorder="1" applyAlignment="1">
      <alignment horizontal="left" vertical="top"/>
    </xf>
    <xf numFmtId="0" fontId="24" fillId="19" borderId="1" xfId="0" applyFont="1" applyFill="1" applyBorder="1" applyAlignment="1">
      <alignment wrapText="1"/>
    </xf>
    <xf numFmtId="0" fontId="3" fillId="19" borderId="0" xfId="0" applyFont="1" applyFill="1" applyAlignment="1">
      <alignment horizontal="left" vertical="top"/>
    </xf>
    <xf numFmtId="0" fontId="7" fillId="19" borderId="8" xfId="0" applyFont="1" applyFill="1" applyBorder="1" applyAlignment="1">
      <alignment horizontal="center" vertical="top" wrapText="1"/>
    </xf>
    <xf numFmtId="0" fontId="6" fillId="19" borderId="8" xfId="0" applyFont="1" applyFill="1" applyBorder="1" applyAlignment="1">
      <alignment horizontal="left" vertical="top"/>
    </xf>
    <xf numFmtId="0" fontId="6" fillId="19" borderId="8" xfId="0" applyFont="1" applyFill="1" applyBorder="1" applyAlignment="1">
      <alignment vertical="top"/>
    </xf>
    <xf numFmtId="0" fontId="6" fillId="19" borderId="1" xfId="0" quotePrefix="1" applyFont="1" applyFill="1" applyBorder="1" applyAlignment="1">
      <alignment vertical="top" wrapText="1"/>
    </xf>
    <xf numFmtId="0" fontId="6" fillId="19" borderId="9" xfId="0" applyFont="1" applyFill="1" applyBorder="1" applyAlignment="1">
      <alignment vertical="top" wrapText="1"/>
    </xf>
    <xf numFmtId="165" fontId="16" fillId="19" borderId="1" xfId="0" applyNumberFormat="1" applyFont="1" applyFill="1" applyBorder="1" applyAlignment="1">
      <alignment horizontal="center" vertical="top"/>
    </xf>
    <xf numFmtId="0" fontId="6" fillId="28" borderId="1" xfId="0" applyFont="1" applyFill="1" applyBorder="1" applyAlignment="1">
      <alignment vertical="top"/>
    </xf>
    <xf numFmtId="0" fontId="6" fillId="28" borderId="8" xfId="0" applyFont="1" applyFill="1" applyBorder="1" applyAlignment="1">
      <alignment vertical="top" wrapText="1"/>
    </xf>
    <xf numFmtId="0" fontId="6" fillId="28" borderId="10" xfId="0" applyFont="1" applyFill="1" applyBorder="1" applyAlignment="1">
      <alignment vertical="top" wrapText="1"/>
    </xf>
    <xf numFmtId="0" fontId="2" fillId="28" borderId="1" xfId="0" applyFont="1" applyFill="1" applyBorder="1" applyAlignment="1">
      <alignment horizontal="left" vertical="top"/>
    </xf>
    <xf numFmtId="0" fontId="24" fillId="28" borderId="1" xfId="0" applyFont="1" applyFill="1" applyBorder="1" applyAlignment="1">
      <alignment wrapText="1"/>
    </xf>
    <xf numFmtId="0" fontId="3" fillId="28" borderId="0" xfId="0" applyFont="1" applyFill="1" applyAlignment="1">
      <alignment horizontal="left" vertical="top"/>
    </xf>
    <xf numFmtId="0" fontId="7" fillId="28" borderId="8" xfId="0" applyFont="1" applyFill="1" applyBorder="1" applyAlignment="1">
      <alignment horizontal="center" vertical="top" wrapText="1"/>
    </xf>
    <xf numFmtId="0" fontId="6" fillId="28" borderId="8" xfId="0" applyFont="1" applyFill="1" applyBorder="1" applyAlignment="1">
      <alignment horizontal="left" vertical="top"/>
    </xf>
    <xf numFmtId="0" fontId="12" fillId="28" borderId="8" xfId="0" applyFont="1" applyFill="1" applyBorder="1"/>
    <xf numFmtId="0" fontId="6" fillId="28" borderId="8" xfId="0" applyFont="1" applyFill="1" applyBorder="1" applyAlignment="1">
      <alignment vertical="top"/>
    </xf>
    <xf numFmtId="0" fontId="6" fillId="28" borderId="1" xfId="0" quotePrefix="1" applyFont="1" applyFill="1" applyBorder="1" applyAlignment="1">
      <alignment vertical="top" wrapText="1"/>
    </xf>
    <xf numFmtId="0" fontId="6" fillId="28" borderId="6" xfId="0" applyFont="1" applyFill="1" applyBorder="1" applyAlignment="1">
      <alignment vertical="top"/>
    </xf>
    <xf numFmtId="0" fontId="6" fillId="28" borderId="9" xfId="0" applyFont="1" applyFill="1" applyBorder="1" applyAlignment="1">
      <alignment vertical="top" wrapText="1"/>
    </xf>
    <xf numFmtId="165" fontId="6" fillId="28" borderId="1" xfId="0" applyNumberFormat="1" applyFont="1" applyFill="1" applyBorder="1" applyAlignment="1">
      <alignment horizontal="center" vertical="top"/>
    </xf>
    <xf numFmtId="0" fontId="25" fillId="28" borderId="0" xfId="0" applyFont="1" applyFill="1" applyAlignment="1">
      <alignment horizontal="left" vertical="top"/>
    </xf>
    <xf numFmtId="0" fontId="6" fillId="29" borderId="1" xfId="0" applyFont="1" applyFill="1" applyBorder="1" applyAlignment="1">
      <alignment vertical="top"/>
    </xf>
    <xf numFmtId="0" fontId="7" fillId="29" borderId="8" xfId="0" applyFont="1" applyFill="1" applyBorder="1" applyAlignment="1">
      <alignment horizontal="center" vertical="top" wrapText="1"/>
    </xf>
    <xf numFmtId="0" fontId="6" fillId="29" borderId="8" xfId="0" applyFont="1" applyFill="1" applyBorder="1" applyAlignment="1">
      <alignment vertical="top" wrapText="1"/>
    </xf>
    <xf numFmtId="0" fontId="6" fillId="29" borderId="8" xfId="0" applyFont="1" applyFill="1" applyBorder="1" applyAlignment="1">
      <alignment horizontal="left" vertical="top" wrapText="1"/>
    </xf>
    <xf numFmtId="0" fontId="6" fillId="29" borderId="1" xfId="0" quotePrefix="1" applyFont="1" applyFill="1" applyBorder="1" applyAlignment="1">
      <alignment vertical="top" wrapText="1"/>
    </xf>
    <xf numFmtId="0" fontId="6" fillId="29" borderId="6" xfId="0" applyFont="1" applyFill="1" applyBorder="1" applyAlignment="1">
      <alignment vertical="top"/>
    </xf>
    <xf numFmtId="165" fontId="6" fillId="29" borderId="22" xfId="0" applyNumberFormat="1" applyFont="1" applyFill="1" applyBorder="1" applyAlignment="1">
      <alignment horizontal="center" vertical="top"/>
    </xf>
    <xf numFmtId="165" fontId="6" fillId="29" borderId="8" xfId="0" applyNumberFormat="1" applyFont="1" applyFill="1" applyBorder="1" applyAlignment="1">
      <alignment horizontal="center" vertical="top"/>
    </xf>
    <xf numFmtId="0" fontId="26" fillId="29" borderId="8" xfId="0" applyFont="1" applyFill="1" applyBorder="1"/>
    <xf numFmtId="0" fontId="6" fillId="29" borderId="5" xfId="0" applyFont="1" applyFill="1" applyBorder="1" applyAlignment="1">
      <alignment vertical="top"/>
    </xf>
    <xf numFmtId="0" fontId="6" fillId="29" borderId="0" xfId="0" applyFont="1" applyFill="1" applyAlignment="1">
      <alignment vertical="top"/>
    </xf>
    <xf numFmtId="0" fontId="6" fillId="29" borderId="8" xfId="0" applyFont="1" applyFill="1" applyBorder="1" applyAlignment="1">
      <alignment vertical="top"/>
    </xf>
    <xf numFmtId="0" fontId="6" fillId="29" borderId="8" xfId="0" applyFont="1" applyFill="1" applyBorder="1" applyAlignment="1">
      <alignment horizontal="left" vertical="top"/>
    </xf>
    <xf numFmtId="0" fontId="6" fillId="29" borderId="9" xfId="0" applyFont="1" applyFill="1" applyBorder="1" applyAlignment="1">
      <alignment vertical="top" wrapText="1"/>
    </xf>
    <xf numFmtId="0" fontId="6" fillId="29" borderId="10" xfId="0" applyFont="1" applyFill="1" applyBorder="1" applyAlignment="1">
      <alignment vertical="top" wrapText="1"/>
    </xf>
    <xf numFmtId="0" fontId="25" fillId="29" borderId="0" xfId="0" applyFont="1" applyFill="1" applyAlignment="1">
      <alignment horizontal="left" vertical="top"/>
    </xf>
    <xf numFmtId="0" fontId="2" fillId="29" borderId="1" xfId="0" applyFont="1" applyFill="1" applyBorder="1" applyAlignment="1">
      <alignment horizontal="left" vertical="top"/>
    </xf>
    <xf numFmtId="0" fontId="24" fillId="29" borderId="1" xfId="0" applyFont="1" applyFill="1" applyBorder="1" applyAlignment="1">
      <alignment wrapText="1"/>
    </xf>
    <xf numFmtId="0" fontId="3" fillId="29" borderId="0" xfId="0" applyFont="1" applyFill="1" applyAlignment="1">
      <alignment horizontal="left" vertical="top"/>
    </xf>
    <xf numFmtId="0" fontId="6" fillId="30" borderId="1" xfId="0" applyFont="1" applyFill="1" applyBorder="1" applyAlignment="1">
      <alignment vertical="top"/>
    </xf>
    <xf numFmtId="165" fontId="6" fillId="30" borderId="10" xfId="0" applyNumberFormat="1" applyFont="1" applyFill="1" applyBorder="1" applyAlignment="1">
      <alignment horizontal="center" vertical="top"/>
    </xf>
    <xf numFmtId="165" fontId="6" fillId="30" borderId="8" xfId="0" applyNumberFormat="1" applyFont="1" applyFill="1" applyBorder="1" applyAlignment="1">
      <alignment horizontal="center" vertical="top"/>
    </xf>
    <xf numFmtId="0" fontId="26" fillId="30" borderId="8" xfId="0" applyFont="1" applyFill="1" applyBorder="1"/>
    <xf numFmtId="0" fontId="6" fillId="30" borderId="8" xfId="0" applyFont="1" applyFill="1" applyBorder="1" applyAlignment="1">
      <alignment vertical="top" wrapText="1"/>
    </xf>
    <xf numFmtId="0" fontId="6" fillId="30" borderId="10" xfId="0" applyFont="1" applyFill="1" applyBorder="1" applyAlignment="1">
      <alignment vertical="top" wrapText="1"/>
    </xf>
    <xf numFmtId="0" fontId="2" fillId="30" borderId="1" xfId="0" applyFont="1" applyFill="1" applyBorder="1" applyAlignment="1">
      <alignment horizontal="left" vertical="top"/>
    </xf>
    <xf numFmtId="0" fontId="24" fillId="30" borderId="1" xfId="0" applyFont="1" applyFill="1" applyBorder="1" applyAlignment="1">
      <alignment wrapText="1"/>
    </xf>
    <xf numFmtId="0" fontId="3" fillId="30" borderId="0" xfId="0" applyFont="1" applyFill="1" applyAlignment="1">
      <alignment horizontal="left" vertical="top"/>
    </xf>
    <xf numFmtId="0" fontId="7" fillId="30" borderId="8" xfId="0" applyFont="1" applyFill="1" applyBorder="1" applyAlignment="1">
      <alignment horizontal="center" vertical="top" wrapText="1"/>
    </xf>
    <xf numFmtId="0" fontId="6" fillId="30" borderId="8" xfId="0" applyFont="1" applyFill="1" applyBorder="1" applyAlignment="1">
      <alignment horizontal="left" vertical="top"/>
    </xf>
    <xf numFmtId="0" fontId="12" fillId="30" borderId="8" xfId="0" applyFont="1" applyFill="1" applyBorder="1"/>
    <xf numFmtId="0" fontId="6" fillId="30" borderId="8" xfId="0" applyFont="1" applyFill="1" applyBorder="1" applyAlignment="1">
      <alignment vertical="top"/>
    </xf>
    <xf numFmtId="0" fontId="6" fillId="30" borderId="1" xfId="0" quotePrefix="1" applyFont="1" applyFill="1" applyBorder="1" applyAlignment="1">
      <alignment vertical="top" wrapText="1"/>
    </xf>
    <xf numFmtId="0" fontId="6" fillId="30" borderId="6" xfId="0" applyFont="1" applyFill="1" applyBorder="1" applyAlignment="1">
      <alignment vertical="top"/>
    </xf>
    <xf numFmtId="0" fontId="6" fillId="30" borderId="5" xfId="0" applyFont="1" applyFill="1" applyBorder="1" applyAlignment="1">
      <alignment vertical="top"/>
    </xf>
    <xf numFmtId="0" fontId="6" fillId="30" borderId="0" xfId="0" applyFont="1" applyFill="1" applyAlignment="1">
      <alignment vertical="top"/>
    </xf>
    <xf numFmtId="0" fontId="6" fillId="30" borderId="9" xfId="0" applyFont="1" applyFill="1" applyBorder="1" applyAlignment="1">
      <alignment vertical="top" wrapText="1"/>
    </xf>
    <xf numFmtId="0" fontId="25" fillId="30" borderId="0" xfId="0" applyFont="1" applyFill="1" applyAlignment="1">
      <alignment horizontal="left" vertical="top"/>
    </xf>
    <xf numFmtId="18" fontId="6" fillId="0" borderId="10" xfId="0" applyNumberFormat="1" applyFont="1" applyBorder="1" applyAlignment="1">
      <alignment vertical="top" wrapText="1"/>
    </xf>
    <xf numFmtId="20" fontId="6" fillId="20" borderId="7" xfId="0" applyNumberFormat="1" applyFont="1" applyFill="1" applyBorder="1" applyAlignment="1">
      <alignment horizontal="center" vertical="top"/>
    </xf>
    <xf numFmtId="20" fontId="6" fillId="21" borderId="7" xfId="0" applyNumberFormat="1" applyFont="1" applyFill="1" applyBorder="1" applyAlignment="1">
      <alignment vertical="top"/>
    </xf>
    <xf numFmtId="20" fontId="6" fillId="22" borderId="7" xfId="0" applyNumberFormat="1" applyFont="1" applyFill="1" applyBorder="1" applyAlignment="1">
      <alignment vertical="top"/>
    </xf>
    <xf numFmtId="0" fontId="51" fillId="12" borderId="10" xfId="0" applyFont="1" applyFill="1" applyBorder="1" applyAlignment="1">
      <alignment horizontal="left" vertical="top" wrapText="1"/>
    </xf>
    <xf numFmtId="18" fontId="7" fillId="25" borderId="10" xfId="0" applyNumberFormat="1" applyFont="1" applyFill="1" applyBorder="1" applyAlignment="1">
      <alignment vertical="top" wrapText="1"/>
    </xf>
    <xf numFmtId="0" fontId="7" fillId="0" borderId="10" xfId="0" applyFont="1" applyBorder="1" applyAlignment="1">
      <alignment horizontal="left" vertical="top"/>
    </xf>
    <xf numFmtId="165" fontId="6" fillId="22" borderId="18" xfId="0" applyNumberFormat="1" applyFont="1" applyFill="1" applyBorder="1" applyAlignment="1">
      <alignment horizontal="center" vertical="top"/>
    </xf>
    <xf numFmtId="18" fontId="6" fillId="0" borderId="9" xfId="0" applyNumberFormat="1" applyFont="1" applyBorder="1" applyAlignment="1">
      <alignment vertical="top" wrapText="1"/>
    </xf>
    <xf numFmtId="21" fontId="12" fillId="0" borderId="9" xfId="0" applyNumberFormat="1" applyFont="1" applyBorder="1" applyAlignment="1">
      <alignment horizontal="center" vertical="center"/>
    </xf>
    <xf numFmtId="0" fontId="3" fillId="23" borderId="9" xfId="0" applyFont="1" applyFill="1" applyBorder="1" applyAlignment="1">
      <alignment horizontal="left" vertical="top"/>
    </xf>
    <xf numFmtId="21" fontId="12" fillId="12" borderId="9" xfId="0" applyNumberFormat="1" applyFont="1" applyFill="1" applyBorder="1" applyAlignment="1">
      <alignment horizontal="center" vertical="center"/>
    </xf>
    <xf numFmtId="21" fontId="12" fillId="26" borderId="9" xfId="0" applyNumberFormat="1" applyFont="1" applyFill="1" applyBorder="1" applyAlignment="1">
      <alignment horizontal="center" vertical="center"/>
    </xf>
    <xf numFmtId="0" fontId="3" fillId="0" borderId="9" xfId="0" applyFont="1" applyBorder="1" applyAlignment="1">
      <alignment horizontal="left" vertical="top" wrapText="1"/>
    </xf>
    <xf numFmtId="18" fontId="7" fillId="6" borderId="9" xfId="0" applyNumberFormat="1" applyFont="1" applyFill="1" applyBorder="1" applyAlignment="1">
      <alignment vertical="top"/>
    </xf>
    <xf numFmtId="18" fontId="7" fillId="25" borderId="9" xfId="0" applyNumberFormat="1" applyFont="1" applyFill="1" applyBorder="1" applyAlignment="1">
      <alignment vertical="top"/>
    </xf>
    <xf numFmtId="18" fontId="6" fillId="0" borderId="9" xfId="0" applyNumberFormat="1" applyFont="1" applyBorder="1" applyAlignment="1">
      <alignment vertical="top"/>
    </xf>
    <xf numFmtId="0" fontId="3" fillId="11" borderId="9" xfId="0" applyFont="1" applyFill="1" applyBorder="1" applyAlignment="1">
      <alignment horizontal="left" vertical="top" wrapText="1"/>
    </xf>
    <xf numFmtId="18" fontId="6" fillId="24" borderId="9" xfId="0" applyNumberFormat="1" applyFont="1" applyFill="1" applyBorder="1" applyAlignment="1">
      <alignment vertical="top" wrapText="1"/>
    </xf>
    <xf numFmtId="18" fontId="6" fillId="29" borderId="9" xfId="0" applyNumberFormat="1" applyFont="1" applyFill="1" applyBorder="1" applyAlignment="1">
      <alignment vertical="top" wrapText="1"/>
    </xf>
    <xf numFmtId="18" fontId="6" fillId="30" borderId="9" xfId="0" applyNumberFormat="1" applyFont="1" applyFill="1" applyBorder="1" applyAlignment="1">
      <alignment vertical="top" wrapText="1"/>
    </xf>
    <xf numFmtId="18" fontId="6" fillId="6" borderId="9" xfId="0" applyNumberFormat="1" applyFont="1" applyFill="1" applyBorder="1" applyAlignment="1">
      <alignment vertical="top"/>
    </xf>
    <xf numFmtId="18" fontId="7" fillId="24" borderId="9" xfId="0" applyNumberFormat="1" applyFont="1" applyFill="1" applyBorder="1" applyAlignment="1">
      <alignment vertical="top"/>
    </xf>
    <xf numFmtId="18" fontId="7" fillId="23" borderId="9" xfId="0" applyNumberFormat="1" applyFont="1" applyFill="1" applyBorder="1" applyAlignment="1">
      <alignment vertical="top"/>
    </xf>
    <xf numFmtId="18" fontId="7" fillId="21" borderId="9" xfId="0" applyNumberFormat="1" applyFont="1" applyFill="1" applyBorder="1" applyAlignment="1">
      <alignment vertical="top"/>
    </xf>
    <xf numFmtId="20" fontId="6" fillId="23" borderId="1" xfId="0" applyNumberFormat="1" applyFont="1" applyFill="1" applyBorder="1" applyAlignment="1">
      <alignment vertical="top" wrapText="1"/>
    </xf>
    <xf numFmtId="165" fontId="48" fillId="12" borderId="1" xfId="0" applyNumberFormat="1" applyFont="1" applyFill="1" applyBorder="1" applyAlignment="1">
      <alignment horizontal="center" vertical="top"/>
    </xf>
    <xf numFmtId="165" fontId="6" fillId="26" borderId="1" xfId="0" applyNumberFormat="1" applyFont="1" applyFill="1" applyBorder="1" applyAlignment="1">
      <alignment horizontal="center" vertical="top"/>
    </xf>
    <xf numFmtId="165" fontId="6" fillId="25" borderId="1" xfId="0" applyNumberFormat="1" applyFont="1" applyFill="1" applyBorder="1" applyAlignment="1">
      <alignment horizontal="center" vertical="top"/>
    </xf>
    <xf numFmtId="165" fontId="6" fillId="11" borderId="1" xfId="0" applyNumberFormat="1" applyFont="1" applyFill="1" applyBorder="1" applyAlignment="1">
      <alignment horizontal="center" vertical="top"/>
    </xf>
    <xf numFmtId="165" fontId="16" fillId="0" borderId="1" xfId="0" applyNumberFormat="1" applyFont="1" applyBorder="1" applyAlignment="1">
      <alignment horizontal="center" vertical="top"/>
    </xf>
    <xf numFmtId="165" fontId="6" fillId="30" borderId="1" xfId="0" applyNumberFormat="1" applyFont="1" applyFill="1" applyBorder="1" applyAlignment="1">
      <alignment horizontal="center" vertical="top"/>
    </xf>
    <xf numFmtId="165" fontId="6" fillId="24" borderId="1" xfId="0" applyNumberFormat="1" applyFont="1" applyFill="1" applyBorder="1" applyAlignment="1">
      <alignment horizontal="center" vertical="top"/>
    </xf>
    <xf numFmtId="165" fontId="3" fillId="0" borderId="1" xfId="0" applyNumberFormat="1" applyFont="1" applyBorder="1" applyAlignment="1">
      <alignment horizontal="left" vertical="top" wrapText="1"/>
    </xf>
    <xf numFmtId="0" fontId="3" fillId="0" borderId="1" xfId="0" applyFont="1" applyBorder="1" applyAlignment="1">
      <alignment horizontal="left" vertical="top"/>
    </xf>
    <xf numFmtId="0" fontId="0" fillId="0" borderId="1" xfId="0" applyBorder="1" applyAlignment="1">
      <alignment horizontal="left" vertical="top" wrapText="1"/>
    </xf>
    <xf numFmtId="165" fontId="12" fillId="24" borderId="1" xfId="0" applyNumberFormat="1" applyFont="1" applyFill="1" applyBorder="1" applyAlignment="1">
      <alignment horizontal="center" vertical="top"/>
    </xf>
    <xf numFmtId="165" fontId="7" fillId="25" borderId="8" xfId="0" applyNumberFormat="1" applyFont="1" applyFill="1" applyBorder="1" applyAlignment="1">
      <alignment horizontal="left" vertical="top"/>
    </xf>
    <xf numFmtId="0" fontId="7" fillId="23" borderId="0" xfId="0" applyFont="1" applyFill="1" applyAlignment="1">
      <alignment horizontal="left" vertical="top"/>
    </xf>
    <xf numFmtId="0" fontId="7" fillId="21" borderId="0" xfId="0" applyFont="1" applyFill="1" applyAlignment="1">
      <alignment horizontal="left" vertical="top"/>
    </xf>
    <xf numFmtId="0" fontId="0" fillId="0" borderId="5" xfId="0" applyBorder="1" applyAlignment="1">
      <alignment horizontal="left" vertical="top"/>
    </xf>
    <xf numFmtId="0" fontId="9" fillId="0" borderId="0" xfId="1"/>
    <xf numFmtId="0" fontId="55" fillId="31" borderId="26" xfId="0" applyFont="1" applyFill="1" applyBorder="1" applyAlignment="1">
      <alignment horizontal="center" vertical="center" wrapText="1"/>
    </xf>
    <xf numFmtId="0" fontId="55" fillId="31" borderId="27" xfId="0" applyFont="1" applyFill="1" applyBorder="1" applyAlignment="1">
      <alignment horizontal="center" vertical="center" wrapText="1"/>
    </xf>
    <xf numFmtId="0" fontId="55" fillId="31" borderId="28" xfId="0" applyFont="1" applyFill="1" applyBorder="1" applyAlignment="1">
      <alignment horizontal="center" vertical="center" wrapText="1"/>
    </xf>
    <xf numFmtId="0" fontId="55" fillId="31" borderId="0" xfId="0" applyFont="1" applyFill="1" applyAlignment="1">
      <alignment horizontal="center" vertical="center" wrapText="1"/>
    </xf>
    <xf numFmtId="0" fontId="56" fillId="32" borderId="0" xfId="0" applyFont="1" applyFill="1" applyAlignment="1">
      <alignment horizontal="left" vertical="center" wrapText="1"/>
    </xf>
    <xf numFmtId="0" fontId="55" fillId="32" borderId="0" xfId="0" applyFont="1" applyFill="1" applyAlignment="1">
      <alignment horizontal="center" vertical="center" wrapText="1"/>
    </xf>
    <xf numFmtId="0" fontId="57" fillId="33" borderId="1" xfId="0" applyFont="1" applyFill="1" applyBorder="1" applyAlignment="1">
      <alignment vertical="center" wrapText="1"/>
    </xf>
    <xf numFmtId="0" fontId="57" fillId="33" borderId="1" xfId="0" applyFont="1" applyFill="1" applyBorder="1" applyAlignment="1">
      <alignment horizontal="center" vertical="center" wrapText="1"/>
    </xf>
    <xf numFmtId="0" fontId="57" fillId="6" borderId="1" xfId="0" applyFont="1" applyFill="1" applyBorder="1" applyAlignment="1">
      <alignment vertical="center" wrapText="1"/>
    </xf>
    <xf numFmtId="0" fontId="0" fillId="0" borderId="1" xfId="0" applyBorder="1" applyAlignment="1">
      <alignment horizontal="left" vertical="center"/>
    </xf>
    <xf numFmtId="18" fontId="0" fillId="0" borderId="0" xfId="0" applyNumberFormat="1"/>
    <xf numFmtId="0" fontId="0" fillId="0" borderId="1" xfId="0" applyBorder="1" applyAlignment="1">
      <alignment vertical="center"/>
    </xf>
    <xf numFmtId="0" fontId="0" fillId="0" borderId="5" xfId="0" applyBorder="1" applyAlignment="1">
      <alignment horizontal="left" vertical="center"/>
    </xf>
    <xf numFmtId="0" fontId="0" fillId="0" borderId="1" xfId="0" applyBorder="1" applyAlignment="1">
      <alignment horizontal="left" vertical="center" wrapText="1"/>
    </xf>
    <xf numFmtId="0" fontId="58" fillId="33" borderId="1" xfId="0" applyFont="1" applyFill="1" applyBorder="1" applyAlignment="1">
      <alignment vertical="center" wrapText="1"/>
    </xf>
    <xf numFmtId="0" fontId="18" fillId="0" borderId="0" xfId="0" applyFont="1"/>
    <xf numFmtId="0" fontId="57" fillId="34" borderId="1" xfId="0" applyFont="1" applyFill="1" applyBorder="1" applyAlignment="1">
      <alignment vertical="center" wrapText="1"/>
    </xf>
    <xf numFmtId="0" fontId="57" fillId="33" borderId="1" xfId="0" applyFont="1" applyFill="1" applyBorder="1" applyAlignment="1">
      <alignment vertical="top" wrapText="1"/>
    </xf>
    <xf numFmtId="0" fontId="9" fillId="33" borderId="1" xfId="1" applyFill="1" applyBorder="1" applyAlignment="1">
      <alignment vertical="center" wrapText="1"/>
    </xf>
    <xf numFmtId="0" fontId="55" fillId="33" borderId="1" xfId="0" applyFont="1" applyFill="1" applyBorder="1" applyAlignment="1">
      <alignment vertical="center" wrapText="1"/>
    </xf>
    <xf numFmtId="0" fontId="18" fillId="32" borderId="14" xfId="0" applyFont="1" applyFill="1" applyBorder="1" applyAlignment="1">
      <alignment horizontal="left" vertical="center"/>
    </xf>
    <xf numFmtId="0" fontId="0" fillId="32" borderId="0" xfId="0" applyFill="1"/>
    <xf numFmtId="0" fontId="0" fillId="32" borderId="0" xfId="0" applyFill="1" applyAlignment="1">
      <alignment horizontal="center"/>
    </xf>
    <xf numFmtId="0" fontId="0" fillId="0" borderId="1" xfId="0" applyBorder="1" applyAlignment="1">
      <alignment horizontal="center" vertical="center" wrapText="1"/>
    </xf>
    <xf numFmtId="0" fontId="0" fillId="35" borderId="29" xfId="0" applyFill="1" applyBorder="1" applyAlignment="1">
      <alignment horizontal="left" vertical="center" wrapText="1"/>
    </xf>
    <xf numFmtId="0" fontId="0" fillId="0" borderId="1" xfId="0" applyBorder="1" applyAlignment="1">
      <alignment horizontal="right" vertical="center" wrapText="1"/>
    </xf>
    <xf numFmtId="0" fontId="0" fillId="0" borderId="14" xfId="0" applyBorder="1" applyAlignment="1">
      <alignment horizontal="left" vertical="top"/>
    </xf>
    <xf numFmtId="0" fontId="0" fillId="0" borderId="1" xfId="0" applyBorder="1" applyAlignment="1">
      <alignment vertical="center" wrapText="1"/>
    </xf>
    <xf numFmtId="0" fontId="18" fillId="32" borderId="1" xfId="0" applyFont="1" applyFill="1" applyBorder="1"/>
    <xf numFmtId="0" fontId="0" fillId="32" borderId="1" xfId="0" applyFill="1" applyBorder="1"/>
    <xf numFmtId="0" fontId="0" fillId="32" borderId="1" xfId="0" applyFill="1" applyBorder="1" applyAlignment="1">
      <alignment horizontal="center"/>
    </xf>
    <xf numFmtId="0" fontId="0" fillId="34" borderId="1" xfId="0" applyFill="1" applyBorder="1" applyAlignment="1">
      <alignment horizontal="left" vertical="center" wrapText="1"/>
    </xf>
    <xf numFmtId="0" fontId="0" fillId="34" borderId="1" xfId="0" applyFill="1" applyBorder="1" applyAlignment="1">
      <alignment horizontal="center"/>
    </xf>
    <xf numFmtId="0" fontId="0" fillId="34" borderId="1" xfId="0" applyFill="1" applyBorder="1"/>
    <xf numFmtId="0" fontId="0" fillId="34" borderId="29" xfId="0" applyFill="1" applyBorder="1" applyAlignment="1">
      <alignment horizontal="left" vertical="center" wrapText="1"/>
    </xf>
    <xf numFmtId="0" fontId="17" fillId="34" borderId="0" xfId="0" applyFont="1" applyFill="1"/>
    <xf numFmtId="0" fontId="0" fillId="34" borderId="0" xfId="0" applyFill="1"/>
    <xf numFmtId="0" fontId="0" fillId="34" borderId="0" xfId="0" applyFill="1" applyAlignment="1">
      <alignment wrapText="1"/>
    </xf>
    <xf numFmtId="18" fontId="0" fillId="34" borderId="0" xfId="0" applyNumberFormat="1" applyFill="1"/>
    <xf numFmtId="0" fontId="0" fillId="0" borderId="1" xfId="0" applyBorder="1" applyAlignment="1">
      <alignment horizontal="center"/>
    </xf>
    <xf numFmtId="0" fontId="0" fillId="22" borderId="1" xfId="0" applyFill="1" applyBorder="1" applyAlignment="1">
      <alignment horizontal="left" vertical="top" wrapText="1"/>
    </xf>
    <xf numFmtId="0" fontId="0" fillId="6" borderId="1" xfId="0" applyFill="1" applyBorder="1"/>
    <xf numFmtId="0" fontId="0" fillId="0" borderId="5" xfId="0" applyBorder="1" applyAlignment="1">
      <alignment horizontal="left" vertical="center" wrapText="1"/>
    </xf>
    <xf numFmtId="0" fontId="0" fillId="0" borderId="5" xfId="0" applyBorder="1" applyAlignment="1">
      <alignment vertical="center" wrapText="1"/>
    </xf>
    <xf numFmtId="0" fontId="59" fillId="33" borderId="30" xfId="0" applyFont="1" applyFill="1" applyBorder="1"/>
    <xf numFmtId="0" fontId="0" fillId="0" borderId="0" xfId="0" applyAlignment="1">
      <alignment horizontal="center"/>
    </xf>
    <xf numFmtId="0" fontId="0" fillId="0" borderId="3" xfId="0" applyBorder="1" applyAlignment="1">
      <alignment horizontal="left" vertical="center" wrapText="1"/>
    </xf>
    <xf numFmtId="0" fontId="60" fillId="0" borderId="0" xfId="0" applyFont="1"/>
    <xf numFmtId="0" fontId="61" fillId="0" borderId="0" xfId="0" applyFont="1"/>
    <xf numFmtId="0" fontId="0" fillId="6" borderId="0" xfId="0" applyFill="1"/>
    <xf numFmtId="0" fontId="3" fillId="23" borderId="0" xfId="0" applyFont="1" applyFill="1" applyAlignment="1">
      <alignment horizontal="left" vertical="center"/>
    </xf>
    <xf numFmtId="0" fontId="3" fillId="26" borderId="0" xfId="0" applyFont="1" applyFill="1" applyAlignment="1">
      <alignment horizontal="left" vertical="center"/>
    </xf>
    <xf numFmtId="165" fontId="7" fillId="25" borderId="8" xfId="0" applyNumberFormat="1" applyFont="1" applyFill="1" applyBorder="1" applyAlignment="1">
      <alignment horizontal="left" vertical="center"/>
    </xf>
    <xf numFmtId="0" fontId="25" fillId="25" borderId="0" xfId="0" applyFont="1" applyFill="1" applyAlignment="1">
      <alignment horizontal="left" vertical="center"/>
    </xf>
    <xf numFmtId="0" fontId="25" fillId="19" borderId="0" xfId="0" applyFont="1" applyFill="1" applyAlignment="1">
      <alignment horizontal="left" vertical="center" wrapText="1"/>
    </xf>
    <xf numFmtId="0" fontId="25" fillId="19" borderId="0" xfId="0" applyFont="1" applyFill="1" applyAlignment="1">
      <alignment horizontal="left" vertical="center"/>
    </xf>
    <xf numFmtId="0" fontId="3" fillId="20" borderId="0" xfId="0" applyFont="1" applyFill="1" applyAlignment="1">
      <alignment horizontal="left" vertical="center" wrapText="1"/>
    </xf>
    <xf numFmtId="0" fontId="3" fillId="20" borderId="0" xfId="0" applyFont="1" applyFill="1" applyAlignment="1">
      <alignment horizontal="left" vertical="center"/>
    </xf>
    <xf numFmtId="0" fontId="25" fillId="30" borderId="0" xfId="0" applyFont="1" applyFill="1" applyAlignment="1">
      <alignment horizontal="left" vertical="center"/>
    </xf>
    <xf numFmtId="0" fontId="25" fillId="24" borderId="0" xfId="0" applyFont="1" applyFill="1" applyAlignment="1">
      <alignment horizontal="left" vertical="center" wrapText="1"/>
    </xf>
    <xf numFmtId="0" fontId="7" fillId="0" borderId="8" xfId="0" applyFont="1" applyBorder="1" applyAlignment="1">
      <alignment horizontal="left" vertical="center" wrapText="1"/>
    </xf>
    <xf numFmtId="0" fontId="6" fillId="0" borderId="0" xfId="0" applyFont="1" applyAlignment="1">
      <alignment horizontal="left" vertical="center" wrapText="1"/>
    </xf>
    <xf numFmtId="0" fontId="7" fillId="0" borderId="0" xfId="0" applyFont="1" applyAlignment="1">
      <alignment horizontal="left" vertical="center" wrapText="1"/>
    </xf>
    <xf numFmtId="0" fontId="3" fillId="23" borderId="0" xfId="0" applyFont="1" applyFill="1" applyAlignment="1">
      <alignment vertical="center"/>
    </xf>
    <xf numFmtId="0" fontId="3" fillId="0" borderId="0" xfId="0" applyFont="1" applyAlignment="1">
      <alignment vertical="center"/>
    </xf>
    <xf numFmtId="0" fontId="7" fillId="0" borderId="8" xfId="0" applyFont="1" applyBorder="1" applyAlignment="1">
      <alignment horizontal="left" vertical="center"/>
    </xf>
    <xf numFmtId="0" fontId="7" fillId="0" borderId="0" xfId="0" applyFont="1" applyAlignment="1">
      <alignment horizontal="left" vertical="center"/>
    </xf>
    <xf numFmtId="0" fontId="25" fillId="0" borderId="0" xfId="0" applyFont="1" applyAlignment="1">
      <alignment horizontal="left" vertical="center"/>
    </xf>
    <xf numFmtId="165" fontId="7" fillId="25" borderId="0" xfId="0" applyNumberFormat="1" applyFont="1" applyFill="1" applyAlignment="1">
      <alignment horizontal="left" vertical="center"/>
    </xf>
    <xf numFmtId="0" fontId="25" fillId="29" borderId="0" xfId="0" applyFont="1" applyFill="1" applyAlignment="1">
      <alignment horizontal="left" vertical="center"/>
    </xf>
    <xf numFmtId="0" fontId="25" fillId="29" borderId="0" xfId="0" applyFont="1" applyFill="1" applyAlignment="1">
      <alignment horizontal="left" vertical="center" wrapText="1"/>
    </xf>
    <xf numFmtId="0" fontId="25" fillId="24" borderId="0" xfId="0" applyFont="1" applyFill="1" applyAlignment="1">
      <alignment horizontal="left" vertical="center"/>
    </xf>
    <xf numFmtId="165" fontId="6" fillId="26" borderId="0" xfId="0" applyNumberFormat="1" applyFont="1" applyFill="1" applyAlignment="1">
      <alignment horizontal="center" vertical="top"/>
    </xf>
    <xf numFmtId="165" fontId="6" fillId="0" borderId="31" xfId="0" applyNumberFormat="1" applyFont="1" applyBorder="1" applyAlignment="1">
      <alignment horizontal="center" vertical="top"/>
    </xf>
    <xf numFmtId="165" fontId="7" fillId="0" borderId="0" xfId="0" applyNumberFormat="1" applyFont="1" applyAlignment="1">
      <alignment horizontal="left" vertical="top" wrapText="1"/>
    </xf>
    <xf numFmtId="165" fontId="7" fillId="25" borderId="0" xfId="0" applyNumberFormat="1" applyFont="1" applyFill="1" applyAlignment="1">
      <alignment vertical="center"/>
    </xf>
    <xf numFmtId="165" fontId="7" fillId="24" borderId="0" xfId="0" applyNumberFormat="1" applyFont="1" applyFill="1" applyAlignment="1">
      <alignment vertical="center"/>
    </xf>
    <xf numFmtId="165" fontId="7" fillId="23" borderId="0" xfId="0" applyNumberFormat="1" applyFont="1" applyFill="1" applyAlignment="1">
      <alignment vertical="center"/>
    </xf>
    <xf numFmtId="0" fontId="7" fillId="22" borderId="4" xfId="0" applyFont="1" applyFill="1" applyBorder="1" applyAlignment="1">
      <alignment horizontal="left" vertical="top" wrapText="1"/>
    </xf>
    <xf numFmtId="0" fontId="7" fillId="21" borderId="0" xfId="0" applyFont="1" applyFill="1" applyAlignment="1">
      <alignment horizontal="left" vertical="top" wrapText="1"/>
    </xf>
    <xf numFmtId="0" fontId="7" fillId="24" borderId="10" xfId="0" applyFont="1" applyFill="1" applyBorder="1" applyAlignment="1">
      <alignment horizontal="left" vertical="top"/>
    </xf>
    <xf numFmtId="0" fontId="7" fillId="24" borderId="17" xfId="0" applyFont="1" applyFill="1" applyBorder="1" applyAlignment="1">
      <alignment horizontal="left" vertical="top"/>
    </xf>
    <xf numFmtId="0" fontId="2" fillId="0" borderId="0" xfId="0" applyFont="1"/>
    <xf numFmtId="165" fontId="6" fillId="6" borderId="11" xfId="0" applyNumberFormat="1" applyFont="1" applyFill="1" applyBorder="1" applyAlignment="1">
      <alignment horizontal="center" vertical="top"/>
    </xf>
    <xf numFmtId="0" fontId="6" fillId="10" borderId="1" xfId="0" applyFont="1" applyFill="1" applyBorder="1" applyAlignment="1">
      <alignment vertical="top"/>
    </xf>
    <xf numFmtId="0" fontId="7" fillId="10" borderId="8" xfId="0" applyFont="1" applyFill="1" applyBorder="1" applyAlignment="1">
      <alignment horizontal="center" vertical="top"/>
    </xf>
    <xf numFmtId="0" fontId="7" fillId="10" borderId="8" xfId="0" applyFont="1" applyFill="1" applyBorder="1" applyAlignment="1">
      <alignment horizontal="left" vertical="top"/>
    </xf>
    <xf numFmtId="0" fontId="12" fillId="10" borderId="8" xfId="0" applyFont="1" applyFill="1" applyBorder="1" applyAlignment="1">
      <alignment vertical="top" wrapText="1"/>
    </xf>
    <xf numFmtId="0" fontId="7" fillId="10" borderId="8" xfId="0" applyFont="1" applyFill="1" applyBorder="1" applyAlignment="1">
      <alignment vertical="top" wrapText="1"/>
    </xf>
    <xf numFmtId="0" fontId="7" fillId="10" borderId="8" xfId="0" applyFont="1" applyFill="1" applyBorder="1" applyAlignment="1">
      <alignment vertical="top"/>
    </xf>
    <xf numFmtId="0" fontId="7" fillId="10" borderId="6" xfId="0" applyFont="1" applyFill="1" applyBorder="1" applyAlignment="1">
      <alignment vertical="top" wrapText="1"/>
    </xf>
    <xf numFmtId="0" fontId="7" fillId="10" borderId="8" xfId="0" applyFont="1" applyFill="1" applyBorder="1" applyAlignment="1">
      <alignment vertical="center" wrapText="1"/>
    </xf>
    <xf numFmtId="18" fontId="7" fillId="10" borderId="9" xfId="0" applyNumberFormat="1" applyFont="1" applyFill="1" applyBorder="1" applyAlignment="1">
      <alignment vertical="top"/>
    </xf>
    <xf numFmtId="165" fontId="6" fillId="10" borderId="1" xfId="0" applyNumberFormat="1" applyFont="1" applyFill="1" applyBorder="1" applyAlignment="1">
      <alignment horizontal="center" vertical="top"/>
    </xf>
    <xf numFmtId="165" fontId="6" fillId="10" borderId="10" xfId="0" applyNumberFormat="1" applyFont="1" applyFill="1" applyBorder="1" applyAlignment="1">
      <alignment horizontal="center" vertical="top"/>
    </xf>
    <xf numFmtId="165" fontId="6" fillId="10" borderId="8" xfId="0" applyNumberFormat="1" applyFont="1" applyFill="1" applyBorder="1" applyAlignment="1">
      <alignment horizontal="center" vertical="top"/>
    </xf>
    <xf numFmtId="0" fontId="6" fillId="10" borderId="8" xfId="0" applyFont="1" applyFill="1" applyBorder="1" applyAlignment="1">
      <alignment vertical="top" wrapText="1"/>
    </xf>
    <xf numFmtId="18" fontId="7" fillId="10" borderId="5" xfId="0" applyNumberFormat="1" applyFont="1" applyFill="1" applyBorder="1" applyAlignment="1">
      <alignment vertical="top" wrapText="1"/>
    </xf>
    <xf numFmtId="18" fontId="7" fillId="10" borderId="8" xfId="0" applyNumberFormat="1" applyFont="1" applyFill="1" applyBorder="1" applyAlignment="1">
      <alignment vertical="top" wrapText="1"/>
    </xf>
    <xf numFmtId="0" fontId="7" fillId="10" borderId="9" xfId="0" applyFont="1" applyFill="1" applyBorder="1" applyAlignment="1">
      <alignment vertical="top" wrapText="1"/>
    </xf>
    <xf numFmtId="0" fontId="6" fillId="10" borderId="10" xfId="0" applyFont="1" applyFill="1" applyBorder="1" applyAlignment="1">
      <alignment vertical="top" wrapText="1"/>
    </xf>
    <xf numFmtId="0" fontId="7" fillId="10" borderId="1" xfId="0" applyFont="1" applyFill="1" applyBorder="1" applyAlignment="1">
      <alignment horizontal="left" vertical="top" wrapText="1"/>
    </xf>
    <xf numFmtId="0" fontId="2" fillId="10" borderId="1" xfId="0" applyFont="1" applyFill="1" applyBorder="1" applyAlignment="1">
      <alignment horizontal="left" vertical="top"/>
    </xf>
    <xf numFmtId="0" fontId="24" fillId="10" borderId="1" xfId="0" applyFont="1" applyFill="1" applyBorder="1" applyAlignment="1">
      <alignment wrapText="1"/>
    </xf>
    <xf numFmtId="0" fontId="62" fillId="10" borderId="0" xfId="0" applyFont="1" applyFill="1" applyAlignment="1">
      <alignment horizontal="left" vertical="top"/>
    </xf>
    <xf numFmtId="0" fontId="25" fillId="10" borderId="0" xfId="0" applyFont="1" applyFill="1" applyAlignment="1">
      <alignment horizontal="left" vertical="top"/>
    </xf>
    <xf numFmtId="0" fontId="7" fillId="10" borderId="8" xfId="0" quotePrefix="1" applyFont="1" applyFill="1" applyBorder="1" applyAlignment="1">
      <alignment vertical="top" wrapText="1"/>
    </xf>
    <xf numFmtId="0" fontId="0" fillId="10" borderId="0" xfId="0" applyFill="1"/>
    <xf numFmtId="0" fontId="0" fillId="10" borderId="32" xfId="0" applyFill="1" applyBorder="1"/>
    <xf numFmtId="0" fontId="12" fillId="24" borderId="19" xfId="0" applyFont="1" applyFill="1" applyBorder="1" applyAlignment="1">
      <alignment vertical="top"/>
    </xf>
    <xf numFmtId="165" fontId="6" fillId="6" borderId="8" xfId="0" applyNumberFormat="1" applyFont="1" applyFill="1" applyBorder="1" applyAlignment="1">
      <alignment horizontal="center" vertical="top"/>
    </xf>
    <xf numFmtId="165" fontId="7" fillId="6" borderId="8" xfId="0" applyNumberFormat="1" applyFont="1" applyFill="1" applyBorder="1" applyAlignment="1">
      <alignment vertical="center"/>
    </xf>
    <xf numFmtId="165" fontId="7" fillId="25" borderId="8" xfId="0" applyNumberFormat="1" applyFont="1" applyFill="1" applyBorder="1" applyAlignment="1">
      <alignment vertical="center"/>
    </xf>
    <xf numFmtId="0" fontId="7" fillId="0" borderId="9" xfId="0" applyFont="1" applyBorder="1" applyAlignment="1">
      <alignment vertical="top"/>
    </xf>
    <xf numFmtId="0" fontId="7" fillId="25" borderId="9" xfId="0" applyFont="1" applyFill="1" applyBorder="1" applyAlignment="1">
      <alignment vertical="top"/>
    </xf>
    <xf numFmtId="0" fontId="7" fillId="25" borderId="10" xfId="0" applyFont="1" applyFill="1" applyBorder="1" applyAlignment="1">
      <alignment horizontal="left" vertical="top"/>
    </xf>
    <xf numFmtId="165" fontId="6" fillId="6" borderId="31" xfId="0" applyNumberFormat="1" applyFont="1" applyFill="1" applyBorder="1" applyAlignment="1">
      <alignment horizontal="center" vertical="top"/>
    </xf>
    <xf numFmtId="165" fontId="7" fillId="10" borderId="8" xfId="0" applyNumberFormat="1" applyFont="1" applyFill="1" applyBorder="1" applyAlignment="1">
      <alignment vertical="center"/>
    </xf>
    <xf numFmtId="165" fontId="16" fillId="0" borderId="8" xfId="0" applyNumberFormat="1" applyFont="1" applyBorder="1" applyAlignment="1">
      <alignment horizontal="center" vertical="top"/>
    </xf>
    <xf numFmtId="0" fontId="7" fillId="10" borderId="9" xfId="0" applyFont="1" applyFill="1" applyBorder="1" applyAlignment="1">
      <alignment vertical="top"/>
    </xf>
    <xf numFmtId="0" fontId="6" fillId="12" borderId="9" xfId="0" applyFont="1" applyFill="1" applyBorder="1" applyAlignment="1">
      <alignment vertical="top"/>
    </xf>
    <xf numFmtId="0" fontId="6" fillId="19" borderId="18" xfId="0" applyFont="1" applyFill="1" applyBorder="1" applyAlignment="1">
      <alignment vertical="top" wrapText="1"/>
    </xf>
    <xf numFmtId="0" fontId="6" fillId="0" borderId="18" xfId="0" applyFont="1" applyBorder="1" applyAlignment="1">
      <alignment vertical="top" wrapText="1"/>
    </xf>
    <xf numFmtId="0" fontId="6" fillId="29" borderId="18" xfId="0" applyFont="1" applyFill="1" applyBorder="1" applyAlignment="1">
      <alignment vertical="top" wrapText="1"/>
    </xf>
    <xf numFmtId="0" fontId="6" fillId="30" borderId="18" xfId="0" applyFont="1" applyFill="1" applyBorder="1" applyAlignment="1">
      <alignment vertical="top" wrapText="1"/>
    </xf>
    <xf numFmtId="0" fontId="7" fillId="10" borderId="10" xfId="0" applyFont="1" applyFill="1" applyBorder="1" applyAlignment="1">
      <alignment horizontal="left" vertical="top"/>
    </xf>
    <xf numFmtId="0" fontId="6" fillId="0" borderId="10" xfId="0" applyFont="1" applyBorder="1" applyAlignment="1">
      <alignment horizontal="left" vertical="top"/>
    </xf>
    <xf numFmtId="0" fontId="6" fillId="24" borderId="10" xfId="0" applyFont="1" applyFill="1" applyBorder="1" applyAlignment="1">
      <alignment horizontal="left" vertical="top"/>
    </xf>
    <xf numFmtId="165" fontId="16" fillId="0" borderId="9" xfId="0" applyNumberFormat="1" applyFont="1" applyBorder="1" applyAlignment="1">
      <alignment horizontal="center" vertical="top"/>
    </xf>
    <xf numFmtId="165" fontId="7" fillId="10" borderId="9" xfId="0" applyNumberFormat="1" applyFont="1" applyFill="1" applyBorder="1" applyAlignment="1">
      <alignment vertical="center"/>
    </xf>
    <xf numFmtId="165" fontId="16" fillId="6" borderId="19" xfId="0" applyNumberFormat="1" applyFont="1" applyFill="1" applyBorder="1" applyAlignment="1">
      <alignment horizontal="center" vertical="top"/>
    </xf>
    <xf numFmtId="165" fontId="6" fillId="6" borderId="22" xfId="0" applyNumberFormat="1" applyFont="1" applyFill="1" applyBorder="1" applyAlignment="1">
      <alignment horizontal="center" vertical="top"/>
    </xf>
    <xf numFmtId="165" fontId="6" fillId="6" borderId="6" xfId="0" applyNumberFormat="1" applyFont="1" applyFill="1" applyBorder="1" applyAlignment="1">
      <alignment horizontal="center" vertical="top"/>
    </xf>
    <xf numFmtId="165" fontId="6" fillId="28" borderId="34" xfId="0" applyNumberFormat="1" applyFont="1" applyFill="1" applyBorder="1" applyAlignment="1">
      <alignment horizontal="center" vertical="top"/>
    </xf>
    <xf numFmtId="165" fontId="6" fillId="0" borderId="33" xfId="0" applyNumberFormat="1" applyFont="1" applyBorder="1" applyAlignment="1">
      <alignment horizontal="center" vertical="top"/>
    </xf>
    <xf numFmtId="0" fontId="53" fillId="24" borderId="8" xfId="0" applyFont="1" applyFill="1" applyBorder="1" applyAlignment="1">
      <alignment vertical="top" wrapText="1"/>
    </xf>
    <xf numFmtId="0" fontId="12" fillId="36" borderId="1" xfId="0" applyFont="1" applyFill="1" applyBorder="1" applyAlignment="1">
      <alignment horizontal="left" vertical="top"/>
    </xf>
    <xf numFmtId="0" fontId="6" fillId="37" borderId="1" xfId="0" applyFont="1" applyFill="1" applyBorder="1" applyAlignment="1">
      <alignment vertical="top"/>
    </xf>
    <xf numFmtId="0" fontId="6" fillId="37" borderId="2" xfId="0" applyFont="1" applyFill="1" applyBorder="1" applyAlignment="1">
      <alignment horizontal="center" vertical="top" wrapText="1"/>
    </xf>
    <xf numFmtId="0" fontId="6" fillId="37" borderId="1" xfId="0" applyFont="1" applyFill="1" applyBorder="1" applyAlignment="1">
      <alignment horizontal="left" vertical="top"/>
    </xf>
    <xf numFmtId="0" fontId="12" fillId="37" borderId="1" xfId="0" applyFont="1" applyFill="1" applyBorder="1"/>
    <xf numFmtId="0" fontId="6" fillId="37" borderId="1" xfId="0" applyFont="1" applyFill="1" applyBorder="1" applyAlignment="1">
      <alignment vertical="top" wrapText="1"/>
    </xf>
    <xf numFmtId="0" fontId="6" fillId="37" borderId="1" xfId="0" quotePrefix="1" applyFont="1" applyFill="1" applyBorder="1" applyAlignment="1">
      <alignment vertical="top" wrapText="1"/>
    </xf>
    <xf numFmtId="0" fontId="6" fillId="37" borderId="6" xfId="0" applyFont="1" applyFill="1" applyBorder="1" applyAlignment="1">
      <alignment vertical="top"/>
    </xf>
    <xf numFmtId="0" fontId="6" fillId="37" borderId="6" xfId="0" applyFont="1" applyFill="1" applyBorder="1" applyAlignment="1">
      <alignment vertical="top" wrapText="1"/>
    </xf>
    <xf numFmtId="165" fontId="6" fillId="37" borderId="1" xfId="0" applyNumberFormat="1" applyFont="1" applyFill="1" applyBorder="1" applyAlignment="1">
      <alignment horizontal="center" vertical="top"/>
    </xf>
    <xf numFmtId="20" fontId="6" fillId="37" borderId="7" xfId="0" applyNumberFormat="1" applyFont="1" applyFill="1" applyBorder="1" applyAlignment="1">
      <alignment horizontal="center" vertical="top"/>
    </xf>
    <xf numFmtId="0" fontId="6" fillId="37" borderId="6" xfId="0" applyFont="1" applyFill="1" applyBorder="1" applyAlignment="1">
      <alignment horizontal="center" vertical="top"/>
    </xf>
    <xf numFmtId="18" fontId="6" fillId="37" borderId="1" xfId="0" applyNumberFormat="1" applyFont="1" applyFill="1" applyBorder="1" applyAlignment="1">
      <alignment vertical="top" wrapText="1"/>
    </xf>
    <xf numFmtId="0" fontId="6" fillId="37" borderId="1" xfId="0" applyFont="1" applyFill="1" applyBorder="1" applyAlignment="1">
      <alignment horizontal="left" vertical="top" wrapText="1"/>
    </xf>
    <xf numFmtId="0" fontId="7" fillId="37" borderId="1" xfId="0" applyFont="1" applyFill="1" applyBorder="1" applyAlignment="1">
      <alignment horizontal="left" vertical="top" wrapText="1"/>
    </xf>
    <xf numFmtId="0" fontId="26" fillId="37" borderId="4" xfId="0" applyFont="1" applyFill="1" applyBorder="1" applyAlignment="1">
      <alignment wrapText="1"/>
    </xf>
    <xf numFmtId="0" fontId="0" fillId="37" borderId="1" xfId="0" applyFill="1" applyBorder="1" applyAlignment="1">
      <alignment horizontal="left" vertical="top"/>
    </xf>
    <xf numFmtId="0" fontId="12" fillId="37" borderId="1" xfId="0" applyFont="1" applyFill="1" applyBorder="1" applyAlignment="1">
      <alignment wrapText="1"/>
    </xf>
    <xf numFmtId="0" fontId="3" fillId="37" borderId="0" xfId="0" applyFont="1" applyFill="1" applyAlignment="1">
      <alignment horizontal="left" vertical="center" wrapText="1"/>
    </xf>
    <xf numFmtId="0" fontId="3" fillId="37" borderId="0" xfId="0" applyFont="1" applyFill="1" applyAlignment="1">
      <alignment horizontal="left" vertical="center"/>
    </xf>
    <xf numFmtId="0" fontId="3" fillId="37" borderId="0" xfId="0" applyFont="1" applyFill="1" applyAlignment="1">
      <alignment horizontal="left" vertical="top"/>
    </xf>
    <xf numFmtId="0" fontId="37" fillId="0" borderId="8" xfId="0" applyFont="1" applyBorder="1"/>
    <xf numFmtId="0" fontId="37" fillId="0" borderId="0" xfId="0" applyFont="1"/>
    <xf numFmtId="0" fontId="12" fillId="0" borderId="1" xfId="0" applyFont="1" applyBorder="1" applyAlignment="1">
      <alignment horizontal="left" vertical="top" wrapText="1"/>
    </xf>
    <xf numFmtId="0" fontId="26" fillId="10" borderId="8" xfId="0" applyFont="1" applyFill="1" applyBorder="1"/>
    <xf numFmtId="0" fontId="28" fillId="10" borderId="4" xfId="0" applyFont="1" applyFill="1" applyBorder="1" applyAlignment="1">
      <alignment wrapText="1"/>
    </xf>
    <xf numFmtId="0" fontId="25" fillId="10" borderId="0" xfId="0" applyFont="1" applyFill="1" applyAlignment="1">
      <alignment horizontal="left" vertical="center"/>
    </xf>
    <xf numFmtId="0" fontId="12" fillId="0" borderId="8" xfId="0" applyFont="1" applyBorder="1" applyAlignment="1">
      <alignment horizontal="left" vertical="center" wrapText="1"/>
    </xf>
    <xf numFmtId="0" fontId="14" fillId="0" borderId="0" xfId="0" applyFont="1" applyAlignment="1">
      <alignment wrapText="1"/>
    </xf>
    <xf numFmtId="165" fontId="6" fillId="23" borderId="17" xfId="0" applyNumberFormat="1" applyFont="1" applyFill="1" applyBorder="1" applyAlignment="1">
      <alignment horizontal="center" vertical="top"/>
    </xf>
    <xf numFmtId="0" fontId="64" fillId="23" borderId="1" xfId="0" applyFont="1" applyFill="1" applyBorder="1" applyAlignment="1">
      <alignment vertical="top" wrapText="1"/>
    </xf>
    <xf numFmtId="0" fontId="26" fillId="38" borderId="1" xfId="0" applyFont="1" applyFill="1" applyBorder="1"/>
    <xf numFmtId="0" fontId="28" fillId="38" borderId="5" xfId="0" applyFont="1" applyFill="1" applyBorder="1"/>
    <xf numFmtId="0" fontId="28" fillId="38" borderId="7" xfId="0" applyFont="1" applyFill="1" applyBorder="1"/>
    <xf numFmtId="0" fontId="28" fillId="38" borderId="1" xfId="0" applyFont="1" applyFill="1" applyBorder="1"/>
    <xf numFmtId="0" fontId="28" fillId="38" borderId="10" xfId="0" applyFont="1" applyFill="1" applyBorder="1"/>
    <xf numFmtId="0" fontId="28" fillId="38" borderId="5" xfId="0" applyFont="1" applyFill="1" applyBorder="1" applyAlignment="1">
      <alignment wrapText="1"/>
    </xf>
    <xf numFmtId="0" fontId="28" fillId="38" borderId="7" xfId="0" applyFont="1" applyFill="1" applyBorder="1" applyAlignment="1">
      <alignment wrapText="1"/>
    </xf>
    <xf numFmtId="0" fontId="28" fillId="38" borderId="8" xfId="0" applyFont="1" applyFill="1" applyBorder="1" applyAlignment="1">
      <alignment wrapText="1"/>
    </xf>
    <xf numFmtId="0" fontId="28" fillId="38" borderId="18" xfId="0" applyFont="1" applyFill="1" applyBorder="1"/>
    <xf numFmtId="0" fontId="26" fillId="38" borderId="10" xfId="0" applyFont="1" applyFill="1" applyBorder="1"/>
    <xf numFmtId="0" fontId="26" fillId="38" borderId="10" xfId="0" applyFont="1" applyFill="1" applyBorder="1" applyAlignment="1">
      <alignment wrapText="1"/>
    </xf>
    <xf numFmtId="0" fontId="28" fillId="38" borderId="10" xfId="0" applyFont="1" applyFill="1" applyBorder="1" applyAlignment="1">
      <alignment wrapText="1"/>
    </xf>
    <xf numFmtId="0" fontId="65" fillId="16" borderId="5" xfId="0" applyFont="1" applyFill="1" applyBorder="1"/>
    <xf numFmtId="0" fontId="65" fillId="38" borderId="5" xfId="0" applyFont="1" applyFill="1" applyBorder="1"/>
    <xf numFmtId="0" fontId="29" fillId="38" borderId="0" xfId="0" applyFont="1" applyFill="1"/>
    <xf numFmtId="0" fontId="28" fillId="38" borderId="0" xfId="0" applyFont="1" applyFill="1" applyAlignment="1">
      <alignment wrapText="1"/>
    </xf>
    <xf numFmtId="0" fontId="65" fillId="38" borderId="0" xfId="0" applyFont="1" applyFill="1"/>
    <xf numFmtId="0" fontId="28" fillId="38" borderId="1" xfId="0" applyFont="1" applyFill="1" applyBorder="1" applyAlignment="1">
      <alignment wrapText="1"/>
    </xf>
    <xf numFmtId="0" fontId="26" fillId="38" borderId="4" xfId="0" applyFont="1" applyFill="1" applyBorder="1"/>
    <xf numFmtId="0" fontId="28" fillId="38" borderId="22" xfId="0" applyFont="1" applyFill="1" applyBorder="1"/>
    <xf numFmtId="0" fontId="28" fillId="38" borderId="32" xfId="0" applyFont="1" applyFill="1" applyBorder="1"/>
    <xf numFmtId="0" fontId="28" fillId="38" borderId="4" xfId="0" applyFont="1" applyFill="1" applyBorder="1"/>
    <xf numFmtId="0" fontId="28" fillId="38" borderId="22" xfId="0" applyFont="1" applyFill="1" applyBorder="1" applyAlignment="1">
      <alignment wrapText="1"/>
    </xf>
    <xf numFmtId="0" fontId="28" fillId="38" borderId="35" xfId="0" applyFont="1" applyFill="1" applyBorder="1" applyAlignment="1">
      <alignment wrapText="1"/>
    </xf>
    <xf numFmtId="0" fontId="28" fillId="38" borderId="19" xfId="0" applyFont="1" applyFill="1" applyBorder="1" applyAlignment="1">
      <alignment wrapText="1"/>
    </xf>
    <xf numFmtId="0" fontId="26" fillId="38" borderId="22" xfId="0" applyFont="1" applyFill="1" applyBorder="1"/>
    <xf numFmtId="0" fontId="26" fillId="38" borderId="22" xfId="0" applyFont="1" applyFill="1" applyBorder="1" applyAlignment="1">
      <alignment wrapText="1"/>
    </xf>
    <xf numFmtId="0" fontId="28" fillId="38" borderId="15" xfId="0" applyFont="1" applyFill="1" applyBorder="1" applyAlignment="1">
      <alignment wrapText="1"/>
    </xf>
    <xf numFmtId="0" fontId="65" fillId="38" borderId="15" xfId="0" applyFont="1" applyFill="1" applyBorder="1"/>
    <xf numFmtId="0" fontId="28" fillId="38" borderId="4" xfId="0" applyFont="1" applyFill="1" applyBorder="1" applyAlignment="1">
      <alignment wrapText="1"/>
    </xf>
    <xf numFmtId="0" fontId="28" fillId="38" borderId="3" xfId="0" applyFont="1" applyFill="1" applyBorder="1"/>
    <xf numFmtId="0" fontId="28" fillId="38" borderId="15" xfId="0" applyFont="1" applyFill="1" applyBorder="1"/>
    <xf numFmtId="0" fontId="28" fillId="38" borderId="14" xfId="0" applyFont="1" applyFill="1" applyBorder="1" applyAlignment="1">
      <alignment wrapText="1"/>
    </xf>
    <xf numFmtId="0" fontId="65" fillId="38" borderId="14" xfId="0" applyFont="1" applyFill="1" applyBorder="1"/>
    <xf numFmtId="0" fontId="28" fillId="38" borderId="35" xfId="0" applyFont="1" applyFill="1" applyBorder="1"/>
    <xf numFmtId="0" fontId="29" fillId="38" borderId="5" xfId="0" applyFont="1" applyFill="1" applyBorder="1"/>
    <xf numFmtId="0" fontId="65" fillId="16" borderId="15" xfId="0" applyFont="1" applyFill="1" applyBorder="1"/>
    <xf numFmtId="0" fontId="29" fillId="38" borderId="15" xfId="0" applyFont="1" applyFill="1" applyBorder="1"/>
    <xf numFmtId="0" fontId="29" fillId="27" borderId="0" xfId="0" applyFont="1" applyFill="1"/>
    <xf numFmtId="0" fontId="26" fillId="39" borderId="4" xfId="0" applyFont="1" applyFill="1" applyBorder="1"/>
    <xf numFmtId="0" fontId="28" fillId="39" borderId="15" xfId="0" applyFont="1" applyFill="1" applyBorder="1"/>
    <xf numFmtId="0" fontId="28" fillId="39" borderId="0" xfId="0" applyFont="1" applyFill="1"/>
    <xf numFmtId="0" fontId="28" fillId="39" borderId="19" xfId="0" applyFont="1" applyFill="1" applyBorder="1"/>
    <xf numFmtId="0" fontId="28" fillId="39" borderId="15" xfId="0" applyFont="1" applyFill="1" applyBorder="1" applyAlignment="1">
      <alignment wrapText="1"/>
    </xf>
    <xf numFmtId="0" fontId="28" fillId="39" borderId="22" xfId="0" applyFont="1" applyFill="1" applyBorder="1"/>
    <xf numFmtId="0" fontId="28" fillId="39" borderId="35" xfId="0" applyFont="1" applyFill="1" applyBorder="1" applyAlignment="1">
      <alignment wrapText="1"/>
    </xf>
    <xf numFmtId="0" fontId="28" fillId="39" borderId="19" xfId="0" applyFont="1" applyFill="1" applyBorder="1" applyAlignment="1">
      <alignment wrapText="1"/>
    </xf>
    <xf numFmtId="0" fontId="28" fillId="39" borderId="32" xfId="0" applyFont="1" applyFill="1" applyBorder="1"/>
    <xf numFmtId="0" fontId="26" fillId="39" borderId="22" xfId="0" applyFont="1" applyFill="1" applyBorder="1"/>
    <xf numFmtId="0" fontId="26" fillId="39" borderId="22" xfId="0" applyFont="1" applyFill="1" applyBorder="1" applyAlignment="1">
      <alignment wrapText="1"/>
    </xf>
    <xf numFmtId="0" fontId="28" fillId="39" borderId="22" xfId="0" applyFont="1" applyFill="1" applyBorder="1" applyAlignment="1">
      <alignment wrapText="1"/>
    </xf>
    <xf numFmtId="0" fontId="65" fillId="39" borderId="15" xfId="0" applyFont="1" applyFill="1" applyBorder="1"/>
    <xf numFmtId="0" fontId="29" fillId="39" borderId="0" xfId="0" applyFont="1" applyFill="1"/>
    <xf numFmtId="0" fontId="28" fillId="39" borderId="0" xfId="0" applyFont="1" applyFill="1" applyAlignment="1">
      <alignment wrapText="1"/>
    </xf>
    <xf numFmtId="0" fontId="65" fillId="39" borderId="0" xfId="0" applyFont="1" applyFill="1"/>
    <xf numFmtId="0" fontId="28" fillId="39" borderId="4" xfId="0" applyFont="1" applyFill="1" applyBorder="1" applyAlignment="1">
      <alignment wrapText="1"/>
    </xf>
    <xf numFmtId="0" fontId="28" fillId="39" borderId="10" xfId="0" applyFont="1" applyFill="1" applyBorder="1"/>
    <xf numFmtId="0" fontId="28" fillId="39" borderId="10" xfId="0" applyFont="1" applyFill="1" applyBorder="1" applyAlignment="1">
      <alignment wrapText="1"/>
    </xf>
    <xf numFmtId="0" fontId="28" fillId="39" borderId="3" xfId="0" applyFont="1" applyFill="1" applyBorder="1"/>
    <xf numFmtId="0" fontId="28" fillId="39" borderId="5" xfId="0" applyFont="1" applyFill="1" applyBorder="1" applyAlignment="1">
      <alignment wrapText="1"/>
    </xf>
    <xf numFmtId="0" fontId="28" fillId="39" borderId="5" xfId="0" applyFont="1" applyFill="1" applyBorder="1"/>
    <xf numFmtId="0" fontId="28" fillId="39" borderId="14" xfId="0" applyFont="1" applyFill="1" applyBorder="1" applyAlignment="1">
      <alignment wrapText="1"/>
    </xf>
    <xf numFmtId="0" fontId="65" fillId="39" borderId="14" xfId="0" applyFont="1" applyFill="1" applyBorder="1"/>
    <xf numFmtId="0" fontId="65" fillId="39" borderId="5" xfId="0" applyFont="1" applyFill="1" applyBorder="1"/>
    <xf numFmtId="0" fontId="29" fillId="39" borderId="5" xfId="0" applyFont="1" applyFill="1" applyBorder="1"/>
    <xf numFmtId="0" fontId="29" fillId="39" borderId="15" xfId="0" applyFont="1" applyFill="1" applyBorder="1"/>
    <xf numFmtId="0" fontId="26" fillId="27" borderId="4" xfId="0" applyFont="1" applyFill="1" applyBorder="1"/>
    <xf numFmtId="0" fontId="28" fillId="27" borderId="22" xfId="0" applyFont="1" applyFill="1" applyBorder="1"/>
    <xf numFmtId="0" fontId="28" fillId="27" borderId="15" xfId="0" applyFont="1" applyFill="1" applyBorder="1" applyAlignment="1">
      <alignment wrapText="1"/>
    </xf>
    <xf numFmtId="0" fontId="28" fillId="27" borderId="22" xfId="0" applyFont="1" applyFill="1" applyBorder="1" applyAlignment="1">
      <alignment wrapText="1"/>
    </xf>
    <xf numFmtId="0" fontId="28" fillId="27" borderId="0" xfId="0" applyFont="1" applyFill="1" applyAlignment="1">
      <alignment wrapText="1"/>
    </xf>
    <xf numFmtId="0" fontId="28" fillId="27" borderId="3" xfId="0" applyFont="1" applyFill="1" applyBorder="1"/>
    <xf numFmtId="0" fontId="28" fillId="27" borderId="35" xfId="0" applyFont="1" applyFill="1" applyBorder="1" applyAlignment="1">
      <alignment wrapText="1"/>
    </xf>
    <xf numFmtId="0" fontId="28" fillId="27" borderId="19" xfId="0" applyFont="1" applyFill="1" applyBorder="1" applyAlignment="1">
      <alignment wrapText="1"/>
    </xf>
    <xf numFmtId="0" fontId="28" fillId="27" borderId="32" xfId="0" applyFont="1" applyFill="1" applyBorder="1"/>
    <xf numFmtId="0" fontId="26" fillId="27" borderId="22" xfId="0" applyFont="1" applyFill="1" applyBorder="1"/>
    <xf numFmtId="0" fontId="26" fillId="27" borderId="22" xfId="0" applyFont="1" applyFill="1" applyBorder="1" applyAlignment="1">
      <alignment wrapText="1"/>
    </xf>
    <xf numFmtId="0" fontId="28" fillId="27" borderId="4" xfId="0" applyFont="1" applyFill="1" applyBorder="1" applyAlignment="1">
      <alignment wrapText="1"/>
    </xf>
    <xf numFmtId="0" fontId="65" fillId="27" borderId="15" xfId="0" applyFont="1" applyFill="1" applyBorder="1"/>
    <xf numFmtId="0" fontId="29" fillId="27" borderId="15" xfId="0" applyFont="1" applyFill="1" applyBorder="1"/>
    <xf numFmtId="0" fontId="29" fillId="40" borderId="0" xfId="0" applyFont="1" applyFill="1"/>
    <xf numFmtId="0" fontId="28" fillId="27" borderId="10" xfId="0" applyFont="1" applyFill="1" applyBorder="1" applyAlignment="1">
      <alignment wrapText="1"/>
    </xf>
    <xf numFmtId="0" fontId="28" fillId="27" borderId="10" xfId="0" applyFont="1" applyFill="1" applyBorder="1"/>
    <xf numFmtId="0" fontId="26" fillId="40" borderId="4" xfId="0" applyFont="1" applyFill="1" applyBorder="1"/>
    <xf numFmtId="0" fontId="28" fillId="40" borderId="15" xfId="0" applyFont="1" applyFill="1" applyBorder="1"/>
    <xf numFmtId="0" fontId="28" fillId="40" borderId="0" xfId="0" applyFont="1" applyFill="1"/>
    <xf numFmtId="0" fontId="28" fillId="40" borderId="19" xfId="0" applyFont="1" applyFill="1" applyBorder="1"/>
    <xf numFmtId="0" fontId="28" fillId="40" borderId="15" xfId="0" applyFont="1" applyFill="1" applyBorder="1" applyAlignment="1">
      <alignment wrapText="1"/>
    </xf>
    <xf numFmtId="0" fontId="28" fillId="40" borderId="22" xfId="0" applyFont="1" applyFill="1" applyBorder="1"/>
    <xf numFmtId="0" fontId="28" fillId="40" borderId="35" xfId="0" applyFont="1" applyFill="1" applyBorder="1" applyAlignment="1">
      <alignment wrapText="1"/>
    </xf>
    <xf numFmtId="0" fontId="28" fillId="40" borderId="19" xfId="0" applyFont="1" applyFill="1" applyBorder="1" applyAlignment="1">
      <alignment wrapText="1"/>
    </xf>
    <xf numFmtId="0" fontId="28" fillId="40" borderId="32" xfId="0" applyFont="1" applyFill="1" applyBorder="1"/>
    <xf numFmtId="0" fontId="26" fillId="40" borderId="22" xfId="0" applyFont="1" applyFill="1" applyBorder="1"/>
    <xf numFmtId="0" fontId="26" fillId="40" borderId="22" xfId="0" applyFont="1" applyFill="1" applyBorder="1" applyAlignment="1">
      <alignment wrapText="1"/>
    </xf>
    <xf numFmtId="0" fontId="28" fillId="40" borderId="22" xfId="0" applyFont="1" applyFill="1" applyBorder="1" applyAlignment="1">
      <alignment wrapText="1"/>
    </xf>
    <xf numFmtId="0" fontId="65" fillId="40" borderId="35" xfId="0" applyFont="1" applyFill="1" applyBorder="1"/>
    <xf numFmtId="0" fontId="28" fillId="40" borderId="4" xfId="0" applyFont="1" applyFill="1" applyBorder="1" applyAlignment="1">
      <alignment wrapText="1"/>
    </xf>
    <xf numFmtId="0" fontId="65" fillId="40" borderId="15" xfId="0" applyFont="1" applyFill="1" applyBorder="1"/>
    <xf numFmtId="0" fontId="29" fillId="40" borderId="15" xfId="0" applyFont="1" applyFill="1" applyBorder="1"/>
    <xf numFmtId="0" fontId="28" fillId="40" borderId="10" xfId="0" applyFont="1" applyFill="1" applyBorder="1"/>
    <xf numFmtId="0" fontId="28" fillId="40" borderId="0" xfId="0" applyFont="1" applyFill="1" applyAlignment="1">
      <alignment wrapText="1"/>
    </xf>
    <xf numFmtId="0" fontId="28" fillId="40" borderId="4" xfId="0" applyFont="1" applyFill="1" applyBorder="1"/>
    <xf numFmtId="0" fontId="28" fillId="40" borderId="10" xfId="0" applyFont="1" applyFill="1" applyBorder="1" applyAlignment="1">
      <alignment wrapText="1"/>
    </xf>
    <xf numFmtId="0" fontId="28" fillId="40" borderId="3" xfId="0" applyFont="1" applyFill="1" applyBorder="1"/>
    <xf numFmtId="0" fontId="29" fillId="41" borderId="0" xfId="0" applyFont="1" applyFill="1"/>
    <xf numFmtId="0" fontId="26" fillId="41" borderId="4" xfId="0" applyFont="1" applyFill="1" applyBorder="1"/>
    <xf numFmtId="0" fontId="28" fillId="41" borderId="15" xfId="0" applyFont="1" applyFill="1" applyBorder="1"/>
    <xf numFmtId="0" fontId="28" fillId="41" borderId="0" xfId="0" applyFont="1" applyFill="1"/>
    <xf numFmtId="0" fontId="28" fillId="41" borderId="19" xfId="0" applyFont="1" applyFill="1" applyBorder="1"/>
    <xf numFmtId="0" fontId="28" fillId="41" borderId="15" xfId="0" applyFont="1" applyFill="1" applyBorder="1" applyAlignment="1">
      <alignment wrapText="1"/>
    </xf>
    <xf numFmtId="0" fontId="28" fillId="41" borderId="22" xfId="0" applyFont="1" applyFill="1" applyBorder="1"/>
    <xf numFmtId="0" fontId="28" fillId="41" borderId="35" xfId="0" applyFont="1" applyFill="1" applyBorder="1" applyAlignment="1">
      <alignment wrapText="1"/>
    </xf>
    <xf numFmtId="0" fontId="28" fillId="41" borderId="19" xfId="0" applyFont="1" applyFill="1" applyBorder="1" applyAlignment="1">
      <alignment wrapText="1"/>
    </xf>
    <xf numFmtId="0" fontId="28" fillId="41" borderId="32" xfId="0" applyFont="1" applyFill="1" applyBorder="1"/>
    <xf numFmtId="0" fontId="26" fillId="41" borderId="22" xfId="0" applyFont="1" applyFill="1" applyBorder="1"/>
    <xf numFmtId="0" fontId="26" fillId="41" borderId="22" xfId="0" applyFont="1" applyFill="1" applyBorder="1" applyAlignment="1">
      <alignment wrapText="1"/>
    </xf>
    <xf numFmtId="0" fontId="28" fillId="41" borderId="22" xfId="0" applyFont="1" applyFill="1" applyBorder="1" applyAlignment="1">
      <alignment wrapText="1"/>
    </xf>
    <xf numFmtId="0" fontId="65" fillId="41" borderId="35" xfId="0" applyFont="1" applyFill="1" applyBorder="1"/>
    <xf numFmtId="0" fontId="28" fillId="41" borderId="4" xfId="0" applyFont="1" applyFill="1" applyBorder="1" applyAlignment="1">
      <alignment wrapText="1"/>
    </xf>
    <xf numFmtId="0" fontId="65" fillId="41" borderId="15" xfId="0" applyFont="1" applyFill="1" applyBorder="1"/>
    <xf numFmtId="0" fontId="29" fillId="41" borderId="15" xfId="0" applyFont="1" applyFill="1" applyBorder="1"/>
    <xf numFmtId="0" fontId="28" fillId="41" borderId="10" xfId="0" applyFont="1" applyFill="1" applyBorder="1"/>
    <xf numFmtId="0" fontId="28" fillId="41" borderId="0" xfId="0" applyFont="1" applyFill="1" applyAlignment="1">
      <alignment wrapText="1"/>
    </xf>
    <xf numFmtId="0" fontId="28" fillId="41" borderId="3" xfId="0" applyFont="1" applyFill="1" applyBorder="1"/>
    <xf numFmtId="0" fontId="29" fillId="42" borderId="0" xfId="0" applyFont="1" applyFill="1"/>
    <xf numFmtId="0" fontId="28" fillId="41" borderId="10" xfId="0" applyFont="1" applyFill="1" applyBorder="1" applyAlignment="1">
      <alignment wrapText="1"/>
    </xf>
    <xf numFmtId="0" fontId="26" fillId="42" borderId="4" xfId="0" applyFont="1" applyFill="1" applyBorder="1"/>
    <xf numFmtId="0" fontId="28" fillId="42" borderId="22" xfId="0" applyFont="1" applyFill="1" applyBorder="1"/>
    <xf numFmtId="0" fontId="28" fillId="42" borderId="22" xfId="0" applyFont="1" applyFill="1" applyBorder="1" applyAlignment="1">
      <alignment wrapText="1"/>
    </xf>
    <xf numFmtId="0" fontId="28" fillId="42" borderId="35" xfId="0" applyFont="1" applyFill="1" applyBorder="1" applyAlignment="1">
      <alignment wrapText="1"/>
    </xf>
    <xf numFmtId="0" fontId="28" fillId="42" borderId="19" xfId="0" applyFont="1" applyFill="1" applyBorder="1" applyAlignment="1">
      <alignment wrapText="1"/>
    </xf>
    <xf numFmtId="0" fontId="28" fillId="42" borderId="32" xfId="0" applyFont="1" applyFill="1" applyBorder="1"/>
    <xf numFmtId="0" fontId="26" fillId="42" borderId="22" xfId="0" applyFont="1" applyFill="1" applyBorder="1"/>
    <xf numFmtId="0" fontId="26" fillId="42" borderId="22" xfId="0" applyFont="1" applyFill="1" applyBorder="1" applyAlignment="1">
      <alignment wrapText="1"/>
    </xf>
    <xf numFmtId="0" fontId="28" fillId="42" borderId="15" xfId="0" applyFont="1" applyFill="1" applyBorder="1" applyAlignment="1">
      <alignment wrapText="1"/>
    </xf>
    <xf numFmtId="0" fontId="28" fillId="42" borderId="0" xfId="0" applyFont="1" applyFill="1" applyAlignment="1">
      <alignment wrapText="1"/>
    </xf>
    <xf numFmtId="0" fontId="28" fillId="42" borderId="4" xfId="0" applyFont="1" applyFill="1" applyBorder="1"/>
    <xf numFmtId="0" fontId="28" fillId="42" borderId="15" xfId="0" applyFont="1" applyFill="1" applyBorder="1"/>
    <xf numFmtId="0" fontId="65" fillId="42" borderId="15" xfId="0" applyFont="1" applyFill="1" applyBorder="1"/>
    <xf numFmtId="0" fontId="28" fillId="42" borderId="10" xfId="0" applyFont="1" applyFill="1" applyBorder="1" applyAlignment="1">
      <alignment wrapText="1"/>
    </xf>
    <xf numFmtId="0" fontId="28" fillId="42" borderId="3" xfId="0" applyFont="1" applyFill="1" applyBorder="1"/>
    <xf numFmtId="0" fontId="29" fillId="43" borderId="0" xfId="0" applyFont="1" applyFill="1"/>
    <xf numFmtId="0" fontId="28" fillId="42" borderId="10" xfId="0" applyFont="1" applyFill="1" applyBorder="1"/>
    <xf numFmtId="0" fontId="26" fillId="43" borderId="4" xfId="0" applyFont="1" applyFill="1" applyBorder="1"/>
    <xf numFmtId="0" fontId="28" fillId="43" borderId="22" xfId="0" applyFont="1" applyFill="1" applyBorder="1"/>
    <xf numFmtId="0" fontId="28" fillId="43" borderId="15" xfId="0" applyFont="1" applyFill="1" applyBorder="1" applyAlignment="1">
      <alignment wrapText="1"/>
    </xf>
    <xf numFmtId="0" fontId="28" fillId="43" borderId="22" xfId="0" applyFont="1" applyFill="1" applyBorder="1" applyAlignment="1">
      <alignment wrapText="1"/>
    </xf>
    <xf numFmtId="0" fontId="28" fillId="43" borderId="0" xfId="0" applyFont="1" applyFill="1" applyAlignment="1">
      <alignment wrapText="1"/>
    </xf>
    <xf numFmtId="0" fontId="28" fillId="43" borderId="3" xfId="0" applyFont="1" applyFill="1" applyBorder="1"/>
    <xf numFmtId="0" fontId="28" fillId="43" borderId="35" xfId="0" applyFont="1" applyFill="1" applyBorder="1" applyAlignment="1">
      <alignment wrapText="1"/>
    </xf>
    <xf numFmtId="0" fontId="28" fillId="43" borderId="19" xfId="0" applyFont="1" applyFill="1" applyBorder="1" applyAlignment="1">
      <alignment wrapText="1"/>
    </xf>
    <xf numFmtId="0" fontId="28" fillId="43" borderId="32" xfId="0" applyFont="1" applyFill="1" applyBorder="1"/>
    <xf numFmtId="0" fontId="26" fillId="43" borderId="22" xfId="0" applyFont="1" applyFill="1" applyBorder="1"/>
    <xf numFmtId="0" fontId="26" fillId="43" borderId="22" xfId="0" applyFont="1" applyFill="1" applyBorder="1" applyAlignment="1">
      <alignment wrapText="1"/>
    </xf>
    <xf numFmtId="0" fontId="28" fillId="43" borderId="4" xfId="0" applyFont="1" applyFill="1" applyBorder="1" applyAlignment="1">
      <alignment wrapText="1"/>
    </xf>
    <xf numFmtId="0" fontId="65" fillId="43" borderId="15" xfId="0" applyFont="1" applyFill="1" applyBorder="1"/>
    <xf numFmtId="0" fontId="29" fillId="43" borderId="15" xfId="0" applyFont="1" applyFill="1" applyBorder="1"/>
    <xf numFmtId="0" fontId="54" fillId="43" borderId="22" xfId="0" applyFont="1" applyFill="1" applyBorder="1" applyAlignment="1">
      <alignment wrapText="1"/>
    </xf>
    <xf numFmtId="0" fontId="28" fillId="43" borderId="10" xfId="0" applyFont="1" applyFill="1" applyBorder="1" applyAlignment="1">
      <alignment wrapText="1"/>
    </xf>
    <xf numFmtId="0" fontId="28" fillId="43" borderId="10" xfId="0" applyFont="1" applyFill="1" applyBorder="1"/>
    <xf numFmtId="0" fontId="26" fillId="43" borderId="3" xfId="0" applyFont="1" applyFill="1" applyBorder="1"/>
    <xf numFmtId="0" fontId="26" fillId="40" borderId="1" xfId="0" applyFont="1" applyFill="1" applyBorder="1"/>
    <xf numFmtId="0" fontId="28" fillId="40" borderId="32" xfId="0" applyFont="1" applyFill="1" applyBorder="1" applyAlignment="1">
      <alignment wrapText="1"/>
    </xf>
    <xf numFmtId="0" fontId="65" fillId="40" borderId="0" xfId="0" applyFont="1" applyFill="1"/>
    <xf numFmtId="0" fontId="28" fillId="40" borderId="1" xfId="0" applyFont="1" applyFill="1" applyBorder="1" applyAlignment="1">
      <alignment wrapText="1"/>
    </xf>
    <xf numFmtId="0" fontId="6" fillId="44" borderId="1" xfId="0" applyFont="1" applyFill="1" applyBorder="1" applyAlignment="1">
      <alignment vertical="top"/>
    </xf>
    <xf numFmtId="0" fontId="12" fillId="44" borderId="8" xfId="0" applyFont="1" applyFill="1" applyBorder="1" applyAlignment="1">
      <alignment horizontal="center" vertical="top"/>
    </xf>
    <xf numFmtId="0" fontId="13" fillId="44" borderId="8" xfId="0" applyFont="1" applyFill="1" applyBorder="1" applyAlignment="1">
      <alignment horizontal="left" vertical="top" wrapText="1"/>
    </xf>
    <xf numFmtId="0" fontId="12" fillId="44" borderId="8" xfId="0" applyFont="1" applyFill="1" applyBorder="1" applyAlignment="1">
      <alignment horizontal="left" vertical="top"/>
    </xf>
    <xf numFmtId="0" fontId="12" fillId="44" borderId="8" xfId="0" applyFont="1" applyFill="1" applyBorder="1"/>
    <xf numFmtId="0" fontId="6" fillId="44" borderId="6" xfId="0" applyFont="1" applyFill="1" applyBorder="1" applyAlignment="1">
      <alignment vertical="top"/>
    </xf>
    <xf numFmtId="0" fontId="6" fillId="44" borderId="8" xfId="0" applyFont="1" applyFill="1" applyBorder="1" applyAlignment="1">
      <alignment vertical="top" wrapText="1"/>
    </xf>
    <xf numFmtId="21" fontId="12" fillId="44" borderId="9" xfId="0" applyNumberFormat="1" applyFont="1" applyFill="1" applyBorder="1" applyAlignment="1">
      <alignment horizontal="center" vertical="center"/>
    </xf>
    <xf numFmtId="165" fontId="6" fillId="44" borderId="1" xfId="0" applyNumberFormat="1" applyFont="1" applyFill="1" applyBorder="1" applyAlignment="1">
      <alignment horizontal="center" vertical="top"/>
    </xf>
    <xf numFmtId="165" fontId="6" fillId="44" borderId="10" xfId="0" applyNumberFormat="1" applyFont="1" applyFill="1" applyBorder="1" applyAlignment="1">
      <alignment horizontal="center" vertical="top"/>
    </xf>
    <xf numFmtId="165" fontId="6" fillId="44" borderId="8" xfId="0" applyNumberFormat="1" applyFont="1" applyFill="1" applyBorder="1" applyAlignment="1">
      <alignment horizontal="center" vertical="top"/>
    </xf>
    <xf numFmtId="0" fontId="26" fillId="44" borderId="8" xfId="0" applyFont="1" applyFill="1" applyBorder="1"/>
    <xf numFmtId="18" fontId="6" fillId="44" borderId="5" xfId="0" applyNumberFormat="1" applyFont="1" applyFill="1" applyBorder="1" applyAlignment="1">
      <alignment vertical="top" wrapText="1"/>
    </xf>
    <xf numFmtId="0" fontId="14" fillId="44" borderId="0" xfId="0" applyFont="1" applyFill="1"/>
    <xf numFmtId="165" fontId="6" fillId="44" borderId="11" xfId="0" applyNumberFormat="1" applyFont="1" applyFill="1" applyBorder="1" applyAlignment="1">
      <alignment horizontal="center" vertical="top"/>
    </xf>
    <xf numFmtId="165" fontId="6" fillId="44" borderId="31" xfId="0" applyNumberFormat="1" applyFont="1" applyFill="1" applyBorder="1" applyAlignment="1">
      <alignment horizontal="center" vertical="top"/>
    </xf>
    <xf numFmtId="0" fontId="13" fillId="44" borderId="8" xfId="0" applyFont="1" applyFill="1" applyBorder="1" applyAlignment="1">
      <alignment vertical="center" wrapText="1"/>
    </xf>
    <xf numFmtId="0" fontId="7" fillId="44" borderId="1" xfId="0" applyFont="1" applyFill="1" applyBorder="1" applyAlignment="1">
      <alignment horizontal="left" vertical="top" wrapText="1"/>
    </xf>
    <xf numFmtId="0" fontId="17" fillId="44" borderId="4" xfId="0" applyFont="1" applyFill="1" applyBorder="1" applyAlignment="1">
      <alignment wrapText="1"/>
    </xf>
    <xf numFmtId="0" fontId="14" fillId="44" borderId="1" xfId="0" applyFont="1" applyFill="1" applyBorder="1" applyAlignment="1">
      <alignment horizontal="left" vertical="top"/>
    </xf>
    <xf numFmtId="0" fontId="12" fillId="44" borderId="1" xfId="0" applyFont="1" applyFill="1" applyBorder="1" applyAlignment="1">
      <alignment wrapText="1"/>
    </xf>
    <xf numFmtId="0" fontId="25" fillId="44" borderId="0" xfId="0" applyFont="1" applyFill="1" applyAlignment="1">
      <alignment horizontal="left" vertical="top"/>
    </xf>
    <xf numFmtId="0" fontId="69" fillId="20" borderId="1" xfId="0" applyFont="1" applyFill="1" applyBorder="1" applyAlignment="1">
      <alignment vertical="top" wrapText="1"/>
    </xf>
    <xf numFmtId="0" fontId="69" fillId="37" borderId="1" xfId="0" applyFont="1" applyFill="1" applyBorder="1" applyAlignment="1">
      <alignment vertical="top" wrapText="1"/>
    </xf>
    <xf numFmtId="0" fontId="12" fillId="0" borderId="2" xfId="0" applyFont="1" applyBorder="1" applyAlignment="1">
      <alignment horizontal="left" vertical="top" wrapText="1"/>
    </xf>
    <xf numFmtId="165" fontId="12" fillId="0" borderId="1" xfId="0" applyNumberFormat="1" applyFont="1" applyBorder="1" applyAlignment="1">
      <alignment horizontal="center" vertical="top"/>
    </xf>
    <xf numFmtId="165" fontId="12" fillId="29" borderId="1" xfId="0" applyNumberFormat="1" applyFont="1" applyFill="1" applyBorder="1" applyAlignment="1">
      <alignment horizontal="center" vertical="top"/>
    </xf>
    <xf numFmtId="165" fontId="6" fillId="6" borderId="1" xfId="0" applyNumberFormat="1" applyFont="1" applyFill="1" applyBorder="1" applyAlignment="1">
      <alignment horizontal="center" vertical="top" wrapText="1"/>
    </xf>
    <xf numFmtId="0" fontId="40" fillId="0" borderId="0" xfId="0" applyFont="1" applyAlignment="1">
      <alignment horizontal="left" vertical="center" wrapText="1"/>
    </xf>
    <xf numFmtId="0" fontId="71" fillId="0" borderId="1" xfId="0" applyFont="1" applyBorder="1" applyAlignment="1">
      <alignment horizontal="left" vertical="center"/>
    </xf>
    <xf numFmtId="0" fontId="6" fillId="30" borderId="0" xfId="0" applyFont="1" applyFill="1" applyAlignment="1">
      <alignment vertical="top" wrapText="1"/>
    </xf>
    <xf numFmtId="0" fontId="6" fillId="29" borderId="0" xfId="0" applyFont="1" applyFill="1" applyAlignment="1">
      <alignment vertical="top" wrapText="1"/>
    </xf>
    <xf numFmtId="0" fontId="2" fillId="21" borderId="0" xfId="0" applyFont="1" applyFill="1" applyAlignment="1">
      <alignment horizontal="left" vertical="top"/>
    </xf>
    <xf numFmtId="0" fontId="3" fillId="21" borderId="0" xfId="0" applyFont="1" applyFill="1" applyAlignment="1">
      <alignment horizontal="left" vertical="top" wrapText="1"/>
    </xf>
    <xf numFmtId="0" fontId="63" fillId="27" borderId="22" xfId="0" applyFont="1" applyFill="1" applyBorder="1" applyAlignment="1">
      <alignment wrapText="1"/>
    </xf>
    <xf numFmtId="0" fontId="73" fillId="21" borderId="1" xfId="0" applyFont="1" applyFill="1" applyBorder="1" applyAlignment="1">
      <alignment vertical="top" wrapText="1"/>
    </xf>
    <xf numFmtId="0" fontId="73" fillId="21" borderId="8" xfId="0" applyFont="1" applyFill="1" applyBorder="1" applyAlignment="1">
      <alignment vertical="top" wrapText="1"/>
    </xf>
    <xf numFmtId="0" fontId="24" fillId="23" borderId="1" xfId="0" applyFont="1" applyFill="1" applyBorder="1" applyAlignment="1">
      <alignment vertical="top" wrapText="1"/>
    </xf>
    <xf numFmtId="0" fontId="24" fillId="25" borderId="8" xfId="0" applyFont="1" applyFill="1" applyBorder="1" applyAlignment="1">
      <alignment vertical="top" wrapText="1"/>
    </xf>
    <xf numFmtId="0" fontId="25" fillId="44" borderId="0" xfId="0" applyFont="1" applyFill="1" applyAlignment="1">
      <alignment vertical="center"/>
    </xf>
    <xf numFmtId="0" fontId="28" fillId="23" borderId="0" xfId="0" applyFont="1" applyFill="1" applyAlignment="1">
      <alignment wrapText="1"/>
    </xf>
    <xf numFmtId="0" fontId="2" fillId="23" borderId="0" xfId="0" applyFont="1" applyFill="1" applyAlignment="1">
      <alignment horizontal="left" vertical="top"/>
    </xf>
    <xf numFmtId="0" fontId="24" fillId="23" borderId="0" xfId="0" applyFont="1" applyFill="1" applyAlignment="1">
      <alignment wrapText="1"/>
    </xf>
    <xf numFmtId="0" fontId="7" fillId="25" borderId="0" xfId="0" applyFont="1" applyFill="1" applyAlignment="1">
      <alignment horizontal="left" vertical="top"/>
    </xf>
    <xf numFmtId="0" fontId="7" fillId="25" borderId="0" xfId="0" applyFont="1" applyFill="1" applyAlignment="1">
      <alignment horizontal="left" vertical="top" wrapText="1"/>
    </xf>
    <xf numFmtId="0" fontId="7" fillId="25" borderId="0" xfId="0" applyFont="1" applyFill="1" applyAlignment="1">
      <alignment vertical="top"/>
    </xf>
    <xf numFmtId="0" fontId="6" fillId="25" borderId="0" xfId="0" applyFont="1" applyFill="1" applyAlignment="1">
      <alignment vertical="top" wrapText="1"/>
    </xf>
    <xf numFmtId="0" fontId="69" fillId="0" borderId="8" xfId="0" applyFont="1" applyBorder="1" applyAlignment="1">
      <alignment vertical="top" wrapText="1"/>
    </xf>
    <xf numFmtId="0" fontId="25" fillId="0" borderId="0" xfId="0" applyFont="1" applyAlignment="1">
      <alignment horizontal="left" vertical="center" wrapText="1"/>
    </xf>
    <xf numFmtId="18" fontId="69" fillId="0" borderId="14" xfId="0" applyNumberFormat="1" applyFont="1" applyBorder="1" applyAlignment="1">
      <alignment vertical="top" wrapText="1"/>
    </xf>
    <xf numFmtId="18" fontId="69" fillId="0" borderId="15" xfId="0" applyNumberFormat="1" applyFont="1" applyBorder="1" applyAlignment="1">
      <alignment vertical="top" wrapText="1"/>
    </xf>
    <xf numFmtId="18" fontId="69" fillId="0" borderId="5" xfId="0" applyNumberFormat="1" applyFont="1" applyBorder="1" applyAlignment="1">
      <alignment vertical="top" wrapText="1"/>
    </xf>
    <xf numFmtId="0" fontId="69" fillId="20" borderId="6" xfId="0" applyFont="1" applyFill="1" applyBorder="1" applyAlignment="1">
      <alignment vertical="top" wrapText="1"/>
    </xf>
    <xf numFmtId="0" fontId="69" fillId="37" borderId="6" xfId="0" applyFont="1" applyFill="1" applyBorder="1" applyAlignment="1">
      <alignment vertical="top" wrapText="1"/>
    </xf>
    <xf numFmtId="0" fontId="25" fillId="0" borderId="8" xfId="0" applyFont="1" applyBorder="1" applyAlignment="1">
      <alignment horizontal="left" vertical="top"/>
    </xf>
    <xf numFmtId="0" fontId="25" fillId="0" borderId="8" xfId="0" applyFont="1" applyBorder="1" applyAlignment="1">
      <alignment horizontal="left" vertical="top" wrapText="1"/>
    </xf>
    <xf numFmtId="0" fontId="6" fillId="0" borderId="4" xfId="0" applyFont="1" applyBorder="1" applyAlignment="1">
      <alignment vertical="top"/>
    </xf>
    <xf numFmtId="0" fontId="6" fillId="0" borderId="4" xfId="0" applyFont="1" applyBorder="1" applyAlignment="1">
      <alignment horizontal="center" vertical="top"/>
    </xf>
    <xf numFmtId="0" fontId="6" fillId="0" borderId="4" xfId="0" applyFont="1" applyBorder="1" applyAlignment="1">
      <alignment horizontal="left" vertical="top"/>
    </xf>
    <xf numFmtId="0" fontId="12" fillId="12" borderId="4" xfId="0" applyFont="1" applyFill="1" applyBorder="1"/>
    <xf numFmtId="0" fontId="37" fillId="0" borderId="19" xfId="0" applyFont="1" applyBorder="1"/>
    <xf numFmtId="0" fontId="6" fillId="0" borderId="4" xfId="0" applyFont="1" applyBorder="1" applyAlignment="1">
      <alignment vertical="top" wrapText="1"/>
    </xf>
    <xf numFmtId="0" fontId="6" fillId="0" borderId="20" xfId="0" applyFont="1" applyBorder="1" applyAlignment="1">
      <alignment vertical="top" wrapText="1"/>
    </xf>
    <xf numFmtId="0" fontId="6" fillId="0" borderId="19" xfId="0" applyFont="1" applyBorder="1" applyAlignment="1">
      <alignment vertical="center"/>
    </xf>
    <xf numFmtId="18" fontId="6" fillId="0" borderId="36" xfId="0" applyNumberFormat="1" applyFont="1" applyBorder="1" applyAlignment="1">
      <alignment vertical="top" wrapText="1"/>
    </xf>
    <xf numFmtId="165" fontId="6" fillId="0" borderId="19" xfId="0" applyNumberFormat="1" applyFont="1" applyBorder="1" applyAlignment="1">
      <alignment horizontal="center" vertical="top"/>
    </xf>
    <xf numFmtId="18" fontId="6" fillId="0" borderId="19" xfId="0" applyNumberFormat="1" applyFont="1" applyBorder="1" applyAlignment="1">
      <alignment vertical="top" wrapText="1"/>
    </xf>
    <xf numFmtId="18" fontId="6" fillId="0" borderId="4" xfId="0" applyNumberFormat="1" applyFont="1" applyBorder="1" applyAlignment="1">
      <alignment horizontal="left" vertical="top" wrapText="1"/>
    </xf>
    <xf numFmtId="18" fontId="6" fillId="0" borderId="4" xfId="0" applyNumberFormat="1" applyFont="1" applyBorder="1" applyAlignment="1">
      <alignment vertical="top" wrapText="1"/>
    </xf>
    <xf numFmtId="0" fontId="7" fillId="0" borderId="4" xfId="0" applyFont="1" applyBorder="1" applyAlignment="1">
      <alignment horizontal="left" vertical="top" wrapText="1"/>
    </xf>
    <xf numFmtId="0" fontId="0" fillId="0" borderId="4" xfId="0" applyBorder="1" applyAlignment="1">
      <alignment horizontal="left" vertical="top"/>
    </xf>
    <xf numFmtId="0" fontId="12" fillId="0" borderId="4" xfId="0" applyFont="1" applyBorder="1" applyAlignment="1">
      <alignment wrapText="1"/>
    </xf>
    <xf numFmtId="0" fontId="25" fillId="20" borderId="0" xfId="0" applyFont="1" applyFill="1" applyAlignment="1">
      <alignment horizontal="left" vertical="center"/>
    </xf>
    <xf numFmtId="0" fontId="25" fillId="37" borderId="0" xfId="0" applyFont="1" applyFill="1" applyAlignment="1">
      <alignment horizontal="left" vertical="center"/>
    </xf>
    <xf numFmtId="0" fontId="25" fillId="21" borderId="0" xfId="0" applyFont="1" applyFill="1" applyAlignment="1">
      <alignment horizontal="left" vertical="center"/>
    </xf>
    <xf numFmtId="0" fontId="25" fillId="23" borderId="0" xfId="0" applyFont="1" applyFill="1" applyAlignment="1">
      <alignment horizontal="left" vertical="center"/>
    </xf>
    <xf numFmtId="0" fontId="28" fillId="0" borderId="0" xfId="0" applyFont="1" applyAlignment="1">
      <alignment vertical="center"/>
    </xf>
    <xf numFmtId="0" fontId="25" fillId="26" borderId="0" xfId="0" applyFont="1" applyFill="1" applyAlignment="1">
      <alignment horizontal="left" vertical="center"/>
    </xf>
    <xf numFmtId="0" fontId="25" fillId="44" borderId="0" xfId="0" applyFont="1" applyFill="1" applyAlignment="1">
      <alignment horizontal="left" vertical="center"/>
    </xf>
    <xf numFmtId="0" fontId="63" fillId="40" borderId="22" xfId="0" applyFont="1" applyFill="1" applyBorder="1" applyAlignment="1">
      <alignment wrapText="1"/>
    </xf>
    <xf numFmtId="0" fontId="63" fillId="40" borderId="15" xfId="0" applyFont="1" applyFill="1" applyBorder="1" applyAlignment="1">
      <alignment wrapText="1"/>
    </xf>
    <xf numFmtId="165" fontId="3" fillId="0" borderId="0" xfId="0" applyNumberFormat="1" applyFont="1" applyAlignment="1">
      <alignment horizontal="left" vertical="top"/>
    </xf>
    <xf numFmtId="18" fontId="6" fillId="0" borderId="18" xfId="0" applyNumberFormat="1" applyFont="1" applyBorder="1" applyAlignment="1">
      <alignment vertical="top"/>
    </xf>
    <xf numFmtId="0" fontId="6" fillId="0" borderId="17" xfId="0" applyFont="1" applyBorder="1" applyAlignment="1">
      <alignment vertical="top" wrapText="1"/>
    </xf>
    <xf numFmtId="0" fontId="6" fillId="0" borderId="19" xfId="0" applyFont="1" applyBorder="1" applyAlignment="1">
      <alignment vertical="top" wrapText="1"/>
    </xf>
    <xf numFmtId="0" fontId="26" fillId="0" borderId="4" xfId="0" applyFont="1" applyBorder="1" applyAlignment="1">
      <alignment wrapText="1"/>
    </xf>
    <xf numFmtId="0" fontId="9" fillId="0" borderId="4" xfId="1" applyFill="1" applyBorder="1" applyAlignment="1">
      <alignment wrapText="1"/>
    </xf>
    <xf numFmtId="0" fontId="14" fillId="6" borderId="0" xfId="0" applyFont="1" applyFill="1"/>
    <xf numFmtId="0" fontId="74" fillId="0" borderId="0" xfId="0" applyFont="1" applyAlignment="1">
      <alignment horizontal="center"/>
    </xf>
    <xf numFmtId="0" fontId="13" fillId="0" borderId="8" xfId="0" applyFont="1" applyBorder="1" applyAlignment="1">
      <alignment horizontal="center" vertical="top" wrapText="1"/>
    </xf>
    <xf numFmtId="18" fontId="75" fillId="6" borderId="5" xfId="0" applyNumberFormat="1" applyFont="1" applyFill="1" applyBorder="1" applyAlignment="1">
      <alignment vertical="top" wrapText="1"/>
    </xf>
    <xf numFmtId="0" fontId="25" fillId="6" borderId="0" xfId="0" applyFont="1" applyFill="1" applyAlignment="1">
      <alignment horizontal="left" vertical="top"/>
    </xf>
    <xf numFmtId="0" fontId="3" fillId="6" borderId="0" xfId="0" applyFont="1" applyFill="1" applyAlignment="1">
      <alignment horizontal="left" vertical="top"/>
    </xf>
    <xf numFmtId="165" fontId="3" fillId="6" borderId="0" xfId="0" applyNumberFormat="1" applyFont="1" applyFill="1" applyAlignment="1">
      <alignment horizontal="left" vertical="top"/>
    </xf>
    <xf numFmtId="18" fontId="6" fillId="6" borderId="5" xfId="0" applyNumberFormat="1" applyFont="1" applyFill="1" applyBorder="1" applyAlignment="1">
      <alignment vertical="top" wrapText="1"/>
    </xf>
    <xf numFmtId="0" fontId="6" fillId="45" borderId="1" xfId="0" applyFont="1" applyFill="1" applyBorder="1" applyAlignment="1">
      <alignment vertical="top"/>
    </xf>
    <xf numFmtId="0" fontId="12" fillId="45" borderId="8" xfId="0" applyFont="1" applyFill="1" applyBorder="1" applyAlignment="1">
      <alignment horizontal="center" vertical="top"/>
    </xf>
    <xf numFmtId="0" fontId="13" fillId="45" borderId="1" xfId="0" applyFont="1" applyFill="1" applyBorder="1" applyAlignment="1">
      <alignment horizontal="left" vertical="top" wrapText="1"/>
    </xf>
    <xf numFmtId="0" fontId="12" fillId="45" borderId="1" xfId="0" applyFont="1" applyFill="1" applyBorder="1" applyAlignment="1">
      <alignment horizontal="left" vertical="top"/>
    </xf>
    <xf numFmtId="0" fontId="12" fillId="45" borderId="1" xfId="0" applyFont="1" applyFill="1" applyBorder="1"/>
    <xf numFmtId="0" fontId="6" fillId="45" borderId="1" xfId="0" applyFont="1" applyFill="1" applyBorder="1" applyAlignment="1">
      <alignment vertical="top" wrapText="1"/>
    </xf>
    <xf numFmtId="0" fontId="6" fillId="45" borderId="6" xfId="0" applyFont="1" applyFill="1" applyBorder="1" applyAlignment="1">
      <alignment vertical="top"/>
    </xf>
    <xf numFmtId="0" fontId="6" fillId="45" borderId="8" xfId="0" applyFont="1" applyFill="1" applyBorder="1" applyAlignment="1">
      <alignment vertical="top" wrapText="1"/>
    </xf>
    <xf numFmtId="21" fontId="12" fillId="45" borderId="9" xfId="0" applyNumberFormat="1" applyFont="1" applyFill="1" applyBorder="1" applyAlignment="1">
      <alignment horizontal="center" vertical="center"/>
    </xf>
    <xf numFmtId="165" fontId="6" fillId="45" borderId="1" xfId="0" applyNumberFormat="1" applyFont="1" applyFill="1" applyBorder="1" applyAlignment="1">
      <alignment horizontal="center" vertical="top"/>
    </xf>
    <xf numFmtId="165" fontId="6" fillId="45" borderId="10" xfId="0" applyNumberFormat="1" applyFont="1" applyFill="1" applyBorder="1" applyAlignment="1">
      <alignment horizontal="center" vertical="top"/>
    </xf>
    <xf numFmtId="165" fontId="6" fillId="45" borderId="8" xfId="0" applyNumberFormat="1" applyFont="1" applyFill="1" applyBorder="1" applyAlignment="1">
      <alignment horizontal="center" vertical="top"/>
    </xf>
    <xf numFmtId="0" fontId="26" fillId="45" borderId="8" xfId="0" applyFont="1" applyFill="1" applyBorder="1"/>
    <xf numFmtId="0" fontId="6" fillId="45" borderId="5" xfId="0" applyFont="1" applyFill="1" applyBorder="1" applyAlignment="1">
      <alignment vertical="top" wrapText="1"/>
    </xf>
    <xf numFmtId="0" fontId="12" fillId="45" borderId="8" xfId="0" applyFont="1" applyFill="1" applyBorder="1" applyAlignment="1">
      <alignment vertical="top"/>
    </xf>
    <xf numFmtId="0" fontId="12" fillId="45" borderId="8" xfId="0" applyFont="1" applyFill="1" applyBorder="1"/>
    <xf numFmtId="0" fontId="16" fillId="45" borderId="8" xfId="0" applyFont="1" applyFill="1" applyBorder="1" applyAlignment="1">
      <alignment horizontal="left" vertical="top" wrapText="1"/>
    </xf>
    <xf numFmtId="0" fontId="12" fillId="45" borderId="9" xfId="0" applyFont="1" applyFill="1" applyBorder="1" applyAlignment="1">
      <alignment horizontal="left" vertical="top"/>
    </xf>
    <xf numFmtId="0" fontId="14" fillId="45" borderId="8" xfId="0" applyFont="1" applyFill="1" applyBorder="1" applyAlignment="1">
      <alignment wrapText="1"/>
    </xf>
    <xf numFmtId="0" fontId="12" fillId="45" borderId="10" xfId="0" applyFont="1" applyFill="1" applyBorder="1" applyAlignment="1">
      <alignment horizontal="left" vertical="top"/>
    </xf>
    <xf numFmtId="0" fontId="12" fillId="45" borderId="8" xfId="0" applyFont="1" applyFill="1" applyBorder="1" applyAlignment="1">
      <alignment horizontal="left" vertical="top"/>
    </xf>
    <xf numFmtId="165" fontId="6" fillId="45" borderId="16" xfId="0" applyNumberFormat="1" applyFont="1" applyFill="1" applyBorder="1" applyAlignment="1">
      <alignment horizontal="center" vertical="top"/>
    </xf>
    <xf numFmtId="165" fontId="6" fillId="45" borderId="0" xfId="0" applyNumberFormat="1" applyFont="1" applyFill="1" applyAlignment="1">
      <alignment horizontal="center" vertical="top"/>
    </xf>
    <xf numFmtId="0" fontId="13" fillId="45" borderId="8" xfId="0" applyFont="1" applyFill="1" applyBorder="1" applyAlignment="1">
      <alignment vertical="center" wrapText="1"/>
    </xf>
    <xf numFmtId="0" fontId="7" fillId="45" borderId="1" xfId="0" applyFont="1" applyFill="1" applyBorder="1" applyAlignment="1">
      <alignment horizontal="left" vertical="top" wrapText="1"/>
    </xf>
    <xf numFmtId="0" fontId="17" fillId="45" borderId="4" xfId="0" applyFont="1" applyFill="1" applyBorder="1" applyAlignment="1">
      <alignment wrapText="1"/>
    </xf>
    <xf numFmtId="0" fontId="14" fillId="45" borderId="1" xfId="0" applyFont="1" applyFill="1" applyBorder="1" applyAlignment="1">
      <alignment horizontal="left" vertical="top"/>
    </xf>
    <xf numFmtId="0" fontId="12" fillId="45" borderId="1" xfId="0" applyFont="1" applyFill="1" applyBorder="1" applyAlignment="1">
      <alignment wrapText="1"/>
    </xf>
    <xf numFmtId="0" fontId="3" fillId="45" borderId="0" xfId="0" applyFont="1" applyFill="1" applyAlignment="1">
      <alignment horizontal="left" vertical="center"/>
    </xf>
    <xf numFmtId="0" fontId="21" fillId="45" borderId="0" xfId="0" applyFont="1" applyFill="1" applyAlignment="1">
      <alignment horizontal="left" vertical="top"/>
    </xf>
    <xf numFmtId="165" fontId="3" fillId="45" borderId="0" xfId="0" applyNumberFormat="1" applyFont="1" applyFill="1" applyAlignment="1">
      <alignment horizontal="left" vertical="top"/>
    </xf>
    <xf numFmtId="0" fontId="7" fillId="45" borderId="1" xfId="0" applyFont="1" applyFill="1" applyBorder="1" applyAlignment="1">
      <alignment horizontal="center" vertical="top"/>
    </xf>
    <xf numFmtId="0" fontId="7" fillId="45" borderId="1" xfId="0" applyFont="1" applyFill="1" applyBorder="1" applyAlignment="1">
      <alignment horizontal="left" vertical="top"/>
    </xf>
    <xf numFmtId="0" fontId="7" fillId="45" borderId="1" xfId="0" applyFont="1" applyFill="1" applyBorder="1" applyAlignment="1">
      <alignment vertical="top" wrapText="1"/>
    </xf>
    <xf numFmtId="0" fontId="7" fillId="45" borderId="1" xfId="0" applyFont="1" applyFill="1" applyBorder="1" applyAlignment="1">
      <alignment vertical="top"/>
    </xf>
    <xf numFmtId="0" fontId="7" fillId="45" borderId="6" xfId="0" applyFont="1" applyFill="1" applyBorder="1" applyAlignment="1">
      <alignment vertical="top" wrapText="1"/>
    </xf>
    <xf numFmtId="0" fontId="7" fillId="45" borderId="8" xfId="0" applyFont="1" applyFill="1" applyBorder="1" applyAlignment="1">
      <alignment vertical="top" wrapText="1"/>
    </xf>
    <xf numFmtId="18" fontId="7" fillId="45" borderId="9" xfId="0" applyNumberFormat="1" applyFont="1" applyFill="1" applyBorder="1" applyAlignment="1">
      <alignment vertical="top"/>
    </xf>
    <xf numFmtId="18" fontId="7" fillId="45" borderId="5" xfId="0" applyNumberFormat="1" applyFont="1" applyFill="1" applyBorder="1" applyAlignment="1">
      <alignment vertical="top" wrapText="1"/>
    </xf>
    <xf numFmtId="18" fontId="7" fillId="45" borderId="1" xfId="0" applyNumberFormat="1" applyFont="1" applyFill="1" applyBorder="1" applyAlignment="1">
      <alignment vertical="top" wrapText="1"/>
    </xf>
    <xf numFmtId="0" fontId="7" fillId="45" borderId="1" xfId="0" quotePrefix="1" applyFont="1" applyFill="1" applyBorder="1" applyAlignment="1">
      <alignment vertical="top" wrapText="1"/>
    </xf>
    <xf numFmtId="0" fontId="7" fillId="45" borderId="0" xfId="0" applyFont="1" applyFill="1" applyAlignment="1">
      <alignment horizontal="left" vertical="top" wrapText="1"/>
    </xf>
    <xf numFmtId="0" fontId="7" fillId="45" borderId="0" xfId="0" applyFont="1" applyFill="1" applyAlignment="1">
      <alignment vertical="top" wrapText="1"/>
    </xf>
    <xf numFmtId="0" fontId="6" fillId="45" borderId="0" xfId="0" applyFont="1" applyFill="1" applyAlignment="1">
      <alignment vertical="top" wrapText="1"/>
    </xf>
    <xf numFmtId="0" fontId="7" fillId="45" borderId="0" xfId="0" applyFont="1" applyFill="1" applyAlignment="1">
      <alignment vertical="top"/>
    </xf>
    <xf numFmtId="165" fontId="7" fillId="45" borderId="1" xfId="0" applyNumberFormat="1" applyFont="1" applyFill="1" applyBorder="1" applyAlignment="1">
      <alignment vertical="center"/>
    </xf>
    <xf numFmtId="165" fontId="7" fillId="45" borderId="0" xfId="0" applyNumberFormat="1" applyFont="1" applyFill="1" applyAlignment="1">
      <alignment vertical="center"/>
    </xf>
    <xf numFmtId="0" fontId="7" fillId="45" borderId="0" xfId="0" applyFont="1" applyFill="1" applyAlignment="1">
      <alignment horizontal="left" vertical="top"/>
    </xf>
    <xf numFmtId="0" fontId="28" fillId="45" borderId="4" xfId="0" applyFont="1" applyFill="1" applyBorder="1" applyAlignment="1">
      <alignment wrapText="1"/>
    </xf>
    <xf numFmtId="0" fontId="2" fillId="45" borderId="1" xfId="0" applyFont="1" applyFill="1" applyBorder="1" applyAlignment="1">
      <alignment horizontal="left" vertical="top"/>
    </xf>
    <xf numFmtId="0" fontId="24" fillId="45" borderId="1" xfId="0" applyFont="1" applyFill="1" applyBorder="1" applyAlignment="1">
      <alignment wrapText="1"/>
    </xf>
    <xf numFmtId="0" fontId="3" fillId="45" borderId="0" xfId="0" applyFont="1" applyFill="1" applyAlignment="1">
      <alignment horizontal="left" vertical="top"/>
    </xf>
    <xf numFmtId="0" fontId="48" fillId="24" borderId="1" xfId="0" applyFont="1" applyFill="1" applyBorder="1" applyAlignment="1">
      <alignment vertical="top"/>
    </xf>
    <xf numFmtId="0" fontId="53" fillId="24" borderId="8" xfId="0" applyFont="1" applyFill="1" applyBorder="1" applyAlignment="1">
      <alignment horizontal="center" vertical="top"/>
    </xf>
    <xf numFmtId="0" fontId="53" fillId="24" borderId="1" xfId="0" applyFont="1" applyFill="1" applyBorder="1" applyAlignment="1">
      <alignment horizontal="left" vertical="top"/>
    </xf>
    <xf numFmtId="0" fontId="53" fillId="24" borderId="10" xfId="0" applyFont="1" applyFill="1" applyBorder="1" applyAlignment="1">
      <alignment horizontal="left" vertical="top"/>
    </xf>
    <xf numFmtId="0" fontId="53" fillId="24" borderId="1" xfId="0" applyFont="1" applyFill="1" applyBorder="1" applyAlignment="1">
      <alignment horizontal="left" vertical="top" wrapText="1"/>
    </xf>
    <xf numFmtId="0" fontId="53" fillId="24" borderId="1" xfId="0" applyFont="1" applyFill="1" applyBorder="1" applyAlignment="1">
      <alignment vertical="top" wrapText="1"/>
    </xf>
    <xf numFmtId="0" fontId="53" fillId="24" borderId="1" xfId="0" applyFont="1" applyFill="1" applyBorder="1" applyAlignment="1">
      <alignment vertical="top"/>
    </xf>
    <xf numFmtId="0" fontId="53" fillId="24" borderId="6" xfId="0" applyFont="1" applyFill="1" applyBorder="1" applyAlignment="1">
      <alignment vertical="top" wrapText="1"/>
    </xf>
    <xf numFmtId="0" fontId="53" fillId="24" borderId="8" xfId="0" applyFont="1" applyFill="1" applyBorder="1" applyAlignment="1">
      <alignment vertical="center" wrapText="1"/>
    </xf>
    <xf numFmtId="18" fontId="53" fillId="24" borderId="9" xfId="0" applyNumberFormat="1" applyFont="1" applyFill="1" applyBorder="1" applyAlignment="1">
      <alignment vertical="top"/>
    </xf>
    <xf numFmtId="165" fontId="48" fillId="24" borderId="1" xfId="0" applyNumberFormat="1" applyFont="1" applyFill="1" applyBorder="1" applyAlignment="1">
      <alignment horizontal="center" vertical="top"/>
    </xf>
    <xf numFmtId="165" fontId="48" fillId="24" borderId="10" xfId="0" applyNumberFormat="1" applyFont="1" applyFill="1" applyBorder="1" applyAlignment="1">
      <alignment horizontal="center" vertical="top"/>
    </xf>
    <xf numFmtId="165" fontId="48" fillId="24" borderId="8" xfId="0" applyNumberFormat="1" applyFont="1" applyFill="1" applyBorder="1" applyAlignment="1">
      <alignment horizontal="center" vertical="top"/>
    </xf>
    <xf numFmtId="0" fontId="77" fillId="24" borderId="8" xfId="0" applyFont="1" applyFill="1" applyBorder="1"/>
    <xf numFmtId="0" fontId="48" fillId="24" borderId="8" xfId="0" applyFont="1" applyFill="1" applyBorder="1" applyAlignment="1">
      <alignment vertical="top" wrapText="1"/>
    </xf>
    <xf numFmtId="18" fontId="53" fillId="24" borderId="5" xfId="0" applyNumberFormat="1" applyFont="1" applyFill="1" applyBorder="1" applyAlignment="1">
      <alignment vertical="top" wrapText="1"/>
    </xf>
    <xf numFmtId="18" fontId="53" fillId="24" borderId="1" xfId="0" applyNumberFormat="1" applyFont="1" applyFill="1" applyBorder="1" applyAlignment="1">
      <alignment vertical="top" wrapText="1"/>
    </xf>
    <xf numFmtId="0" fontId="53" fillId="24" borderId="1" xfId="0" quotePrefix="1" applyFont="1" applyFill="1" applyBorder="1" applyAlignment="1">
      <alignment vertical="top" wrapText="1"/>
    </xf>
    <xf numFmtId="0" fontId="48" fillId="24" borderId="10" xfId="0" applyFont="1" applyFill="1" applyBorder="1" applyAlignment="1">
      <alignment vertical="top" wrapText="1"/>
    </xf>
    <xf numFmtId="0" fontId="48" fillId="0" borderId="10" xfId="0" applyFont="1" applyBorder="1" applyAlignment="1">
      <alignment vertical="top" wrapText="1"/>
    </xf>
    <xf numFmtId="0" fontId="53" fillId="0" borderId="1" xfId="0" applyFont="1" applyBorder="1" applyAlignment="1">
      <alignment vertical="top"/>
    </xf>
    <xf numFmtId="165" fontId="53" fillId="24" borderId="1" xfId="0" applyNumberFormat="1" applyFont="1" applyFill="1" applyBorder="1" applyAlignment="1">
      <alignment vertical="center"/>
    </xf>
    <xf numFmtId="0" fontId="54" fillId="24" borderId="4" xfId="0" applyFont="1" applyFill="1" applyBorder="1" applyAlignment="1">
      <alignment wrapText="1"/>
    </xf>
    <xf numFmtId="0" fontId="78" fillId="24" borderId="1" xfId="0" applyFont="1" applyFill="1" applyBorder="1" applyAlignment="1">
      <alignment horizontal="left" vertical="top"/>
    </xf>
    <xf numFmtId="0" fontId="79" fillId="24" borderId="1" xfId="0" applyFont="1" applyFill="1" applyBorder="1" applyAlignment="1">
      <alignment wrapText="1"/>
    </xf>
    <xf numFmtId="0" fontId="21" fillId="23" borderId="0" xfId="0" applyFont="1" applyFill="1" applyAlignment="1">
      <alignment horizontal="left" vertical="top"/>
    </xf>
    <xf numFmtId="0" fontId="0" fillId="0" borderId="19" xfId="0" applyBorder="1"/>
    <xf numFmtId="0" fontId="0" fillId="0" borderId="22" xfId="0" applyBorder="1"/>
    <xf numFmtId="0" fontId="0" fillId="0" borderId="21" xfId="0" applyBorder="1"/>
    <xf numFmtId="0" fontId="0" fillId="0" borderId="36" xfId="0" applyBorder="1"/>
    <xf numFmtId="0" fontId="9" fillId="0" borderId="9" xfId="1" applyBorder="1"/>
    <xf numFmtId="0" fontId="0" fillId="0" borderId="9" xfId="0" applyBorder="1"/>
    <xf numFmtId="0" fontId="0" fillId="0" borderId="37" xfId="0" applyBorder="1"/>
    <xf numFmtId="0" fontId="6" fillId="24" borderId="8" xfId="0" applyFont="1" applyFill="1" applyBorder="1" applyAlignment="1">
      <alignment horizontal="left" vertical="top" wrapText="1"/>
    </xf>
    <xf numFmtId="0" fontId="2" fillId="0" borderId="0" xfId="0" applyFont="1" applyAlignment="1">
      <alignment horizontal="center"/>
    </xf>
    <xf numFmtId="0" fontId="2" fillId="0" borderId="0" xfId="0" applyFont="1" applyAlignment="1">
      <alignment wrapText="1"/>
    </xf>
    <xf numFmtId="0" fontId="0" fillId="24" borderId="1" xfId="0" applyFill="1" applyBorder="1" applyAlignment="1">
      <alignment horizontal="left" vertical="top" wrapText="1"/>
    </xf>
    <xf numFmtId="0" fontId="7" fillId="0" borderId="8" xfId="0" applyFont="1" applyBorder="1" applyAlignment="1">
      <alignment horizontal="left" vertical="top" wrapText="1"/>
    </xf>
    <xf numFmtId="0" fontId="25" fillId="0" borderId="8" xfId="0" applyFont="1" applyBorder="1" applyAlignment="1">
      <alignment horizontal="center" vertical="top" wrapText="1"/>
    </xf>
    <xf numFmtId="0" fontId="25" fillId="0" borderId="8" xfId="0" applyFont="1" applyBorder="1" applyAlignment="1">
      <alignment horizontal="left" vertical="top" wrapText="1"/>
    </xf>
    <xf numFmtId="0" fontId="25" fillId="0" borderId="8" xfId="0" applyFont="1" applyBorder="1" applyAlignment="1">
      <alignment horizontal="left" vertical="top"/>
    </xf>
    <xf numFmtId="0" fontId="7" fillId="0" borderId="8" xfId="0" applyFont="1" applyBorder="1" applyAlignment="1">
      <alignment horizontal="left" vertical="top"/>
    </xf>
    <xf numFmtId="0" fontId="28" fillId="0" borderId="8" xfId="0" applyFont="1" applyBorder="1" applyAlignment="1">
      <alignment vertical="top" wrapText="1"/>
    </xf>
    <xf numFmtId="165" fontId="7" fillId="0" borderId="8" xfId="0" applyNumberFormat="1" applyFont="1" applyBorder="1" applyAlignment="1">
      <alignment horizontal="left" vertical="top" wrapText="1"/>
    </xf>
    <xf numFmtId="0" fontId="7" fillId="0" borderId="8" xfId="0" applyFont="1" applyBorder="1" applyAlignment="1">
      <alignment horizontal="center" vertical="top" wrapText="1"/>
    </xf>
    <xf numFmtId="0" fontId="2" fillId="2" borderId="6" xfId="0" applyFont="1" applyFill="1" applyBorder="1" applyAlignment="1">
      <alignment horizontal="center"/>
    </xf>
    <xf numFmtId="0" fontId="2" fillId="2" borderId="7" xfId="0" applyFont="1" applyFill="1" applyBorder="1" applyAlignment="1">
      <alignment horizontal="center"/>
    </xf>
    <xf numFmtId="0" fontId="2" fillId="2" borderId="5" xfId="0" applyFont="1" applyFill="1" applyBorder="1" applyAlignment="1">
      <alignment horizontal="center"/>
    </xf>
    <xf numFmtId="0" fontId="2" fillId="2" borderId="1" xfId="0" applyFont="1" applyFill="1" applyBorder="1" applyAlignment="1">
      <alignment horizontal="center"/>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40" fillId="0" borderId="23" xfId="0" applyFont="1" applyBorder="1" applyAlignment="1">
      <alignment horizontal="left" vertical="center" wrapText="1"/>
    </xf>
    <xf numFmtId="0" fontId="0" fillId="0" borderId="6" xfId="0" applyBorder="1" applyAlignment="1">
      <alignment horizontal="left" vertical="top"/>
    </xf>
    <xf numFmtId="0" fontId="0" fillId="0" borderId="7" xfId="0" applyBorder="1" applyAlignment="1">
      <alignment horizontal="left" vertical="top"/>
    </xf>
    <xf numFmtId="0" fontId="0" fillId="0" borderId="5" xfId="0" applyBorder="1" applyAlignment="1">
      <alignment horizontal="left" vertical="top"/>
    </xf>
    <xf numFmtId="0" fontId="4" fillId="0" borderId="1" xfId="0" applyFont="1" applyBorder="1" applyAlignment="1">
      <alignment vertical="top" wrapText="1"/>
    </xf>
    <xf numFmtId="0" fontId="2" fillId="0" borderId="1" xfId="0" applyFont="1" applyBorder="1" applyAlignment="1">
      <alignment horizontal="center"/>
    </xf>
    <xf numFmtId="0" fontId="8" fillId="0" borderId="6" xfId="0" applyFont="1" applyBorder="1" applyAlignment="1">
      <alignment horizontal="left" vertical="top"/>
    </xf>
    <xf numFmtId="0" fontId="8" fillId="0" borderId="7" xfId="0" applyFont="1" applyBorder="1" applyAlignment="1">
      <alignment horizontal="left" vertical="top"/>
    </xf>
    <xf numFmtId="0" fontId="8" fillId="0" borderId="5" xfId="0" applyFont="1" applyBorder="1" applyAlignment="1">
      <alignment horizontal="left" vertical="top"/>
    </xf>
    <xf numFmtId="0" fontId="2" fillId="0" borderId="17" xfId="0" applyFont="1" applyBorder="1" applyAlignment="1">
      <alignment horizontal="left"/>
    </xf>
    <xf numFmtId="0" fontId="2" fillId="0" borderId="8" xfId="0" applyFont="1" applyBorder="1" applyAlignment="1">
      <alignment horizontal="left"/>
    </xf>
    <xf numFmtId="0" fontId="0" fillId="14" borderId="9" xfId="0" applyFill="1" applyBorder="1" applyAlignment="1">
      <alignment horizontal="center"/>
    </xf>
    <xf numFmtId="0" fontId="0" fillId="14" borderId="18" xfId="0" applyFill="1" applyBorder="1" applyAlignment="1">
      <alignment horizontal="center"/>
    </xf>
    <xf numFmtId="0" fontId="0" fillId="14" borderId="10" xfId="0" applyFill="1" applyBorder="1" applyAlignment="1">
      <alignment horizontal="center"/>
    </xf>
  </cellXfs>
  <cellStyles count="4">
    <cellStyle name="Accent1" xfId="2" builtinId="29"/>
    <cellStyle name="Accent6" xfId="3" builtinId="49"/>
    <cellStyle name="Hyperlink" xfId="1" builtinId="8"/>
    <cellStyle name="Normal" xfId="0" builtinId="0"/>
  </cellStyles>
  <dxfs count="7">
    <dxf>
      <border>
        <left style="thin">
          <color rgb="FF000000"/>
        </left>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vertical style="thin">
          <color rgb="FF000000"/>
        </vertical>
        <horizontal style="thin">
          <color rgb="FF000000"/>
        </horizontal>
      </border>
    </dxf>
    <dxf>
      <border>
        <left/>
        <right style="thin">
          <color rgb="FF000000"/>
        </right>
        <top style="thin">
          <color rgb="FF000000"/>
        </top>
        <bottom style="thin">
          <color rgb="FF000000"/>
        </bottom>
        <vertical style="thin">
          <color rgb="FF000000"/>
        </vertical>
        <horizontal style="thin">
          <color rgb="FF000000"/>
        </horizontal>
      </border>
    </dxf>
    <dxf>
      <border>
        <top style="thin">
          <color rgb="FF000000"/>
        </top>
      </border>
    </dxf>
    <dxf>
      <border>
        <bottom style="thin">
          <color rgb="FF000000"/>
        </bottom>
      </border>
    </dxf>
    <dxf>
      <border>
        <left style="thin">
          <color rgb="FF000000"/>
        </left>
        <right style="thin">
          <color rgb="FF000000"/>
        </right>
        <top style="thin">
          <color rgb="FF000000"/>
        </top>
        <bottom style="thin">
          <color rgb="FF000000"/>
        </bottom>
      </border>
    </dxf>
    <dxf>
      <border>
        <left style="thin">
          <color rgb="FF000000"/>
        </left>
        <right style="thin">
          <color rgb="FF000000"/>
        </right>
        <top/>
        <bottom/>
        <vertical style="thin">
          <color rgb="FF000000"/>
        </vertical>
        <horizontal style="thin">
          <color rgb="FF000000"/>
        </horizontal>
      </border>
    </dxf>
  </dxfs>
  <tableStyles count="0" defaultTableStyle="TableStyleMedium2" defaultPivotStyle="PivotStyleLight16"/>
  <colors>
    <mruColors>
      <color rgb="FFCCCCFF"/>
      <color rgb="FFFFCC66"/>
      <color rgb="FFFBB7EC"/>
      <color rgb="FFFFCCFF"/>
      <color rgb="FFFFFF99"/>
      <color rgb="FFFF99CC"/>
      <color rgb="FF009999"/>
      <color rgb="FF0000FF"/>
      <color rgb="FF9999FF"/>
      <color rgb="FFFF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ocumenttasks/documenttask1.xml><?xml version="1.0" encoding="utf-8"?>
<Tasks xmlns="http://schemas.microsoft.com/office/tasks/2019/documenttasks">
  <Task id="{F61F1682-722E-4A60-B0A5-2DEDACADD775}">
    <Anchor>
      <Comment id="{0B2AF4A2-4F23-4DDB-8336-08DA772B83A1}"/>
    </Anchor>
    <History>
      <Event time="2025-02-14T00:37:18.05" id="{D2C4F06E-E90C-4DB6-B660-F75862C7152E}">
        <Attribution userId="S::tkraemer@hoopp.com::8adc1bac-be87-4c37-ab2b-630247ef4dbb" userName="Kraemer, Tobias" userProvider="AD"/>
        <Anchor>
          <Comment id="{0B2AF4A2-4F23-4DDB-8336-08DA772B83A1}"/>
        </Anchor>
        <Create/>
      </Event>
      <Event time="2025-02-14T00:37:18.05" id="{E21A75E3-3448-4DBD-8646-A684088C44C9}">
        <Attribution userId="S::tkraemer@hoopp.com::8adc1bac-be87-4c37-ab2b-630247ef4dbb" userName="Kraemer, Tobias" userProvider="AD"/>
        <Anchor>
          <Comment id="{0B2AF4A2-4F23-4DDB-8336-08DA772B83A1}"/>
        </Anchor>
        <Assign userId="S::msinghal@hoopp.com::d3648285-f9ef-4822-9252-46da85daa0c3" userName="Singhal, Mayank" userProvider="AD"/>
      </Event>
      <Event time="2025-02-14T00:37:18.05" id="{CC46DF69-001E-403B-8BB7-82B1711C70D1}">
        <Attribution userId="S::tkraemer@hoopp.com::8adc1bac-be87-4c37-ab2b-630247ef4dbb" userName="Kraemer, Tobias" userProvider="AD"/>
        <Anchor>
          <Comment id="{0B2AF4A2-4F23-4DDB-8336-08DA772B83A1}"/>
        </Anchor>
        <SetTitle title="@Singhal, Mayank Is this column the name of the aditlo job that GS uses to create a complete ACK file? If so, do you mind filling in the name for the loads that we will wait for? Actually, we might need this unique name for all jobs, no?"/>
      </Event>
    </History>
  </Task>
  <Task id="{E41BD0B9-CED2-4DB9-84A3-E06EB552D63B}">
    <Anchor>
      <Comment id="{39F7F8D4-8FE3-4F10-BDEA-E65A2C68ACCD}"/>
    </Anchor>
    <History>
      <Event time="2025-02-14T00:41:02.04" id="{2B907A0F-40BC-4D0D-81CE-02262F2EFCCE}">
        <Attribution userId="S::tkraemer@hoopp.com::8adc1bac-be87-4c37-ab2b-630247ef4dbb" userName="Kraemer, Tobias" userProvider="AD"/>
        <Anchor>
          <Comment id="{39F7F8D4-8FE3-4F10-BDEA-E65A2C68ACCD}"/>
        </Anchor>
        <Create/>
      </Event>
      <Event time="2025-02-14T00:41:02.04" id="{0DA28CAC-CD4B-4789-8021-D46E414A8423}">
        <Attribution userId="S::tkraemer@hoopp.com::8adc1bac-be87-4c37-ab2b-630247ef4dbb" userName="Kraemer, Tobias" userProvider="AD"/>
        <Anchor>
          <Comment id="{39F7F8D4-8FE3-4F10-BDEA-E65A2C68ACCD}"/>
        </Anchor>
        <Assign userId="S::msinghal@hoopp.com::d3648285-f9ef-4822-9252-46da85daa0c3" userName="Singhal, Mayank" userProvider="AD"/>
      </Event>
      <Event time="2025-02-14T00:41:02.04" id="{F67966A2-0DC1-40E2-B4E1-FE17D277B163}">
        <Attribution userId="S::tkraemer@hoopp.com::8adc1bac-be87-4c37-ab2b-630247ef4dbb" userName="Kraemer, Tobias" userProvider="AD"/>
        <Anchor>
          <Comment id="{39F7F8D4-8FE3-4F10-BDEA-E65A2C68ACCD}"/>
        </Anchor>
        <SetTitle title="@Singhal, Mayank Since this row is the response, can we move the Readiness Check information to row 11?"/>
      </Event>
    </History>
  </Task>
  <Task id="{B5705FD3-F904-4D99-AA96-001132003ACE}">
    <Anchor>
      <Comment id="{10EEEA35-668F-47C0-B41A-4A2A0981E56C}"/>
    </Anchor>
    <History>
      <Event time="2025-02-14T00:41:02.04" id="{2B907A0F-40BC-4D0D-81CE-02262F2EFCCE}">
        <Attribution userId="S::tkraemer@hoopp.com::8adc1bac-be87-4c37-ab2b-630247ef4dbb" userName="Kraemer, Tobias" userProvider="AD"/>
        <Anchor>
          <Comment id="{10EEEA35-668F-47C0-B41A-4A2A0981E56C}"/>
        </Anchor>
        <Create/>
      </Event>
      <Event time="2025-02-14T00:41:02.04" id="{0DA28CAC-CD4B-4789-8021-D46E414A8423}">
        <Attribution userId="S::tkraemer@hoopp.com::8adc1bac-be87-4c37-ab2b-630247ef4dbb" userName="Kraemer, Tobias" userProvider="AD"/>
        <Anchor>
          <Comment id="{10EEEA35-668F-47C0-B41A-4A2A0981E56C}"/>
        </Anchor>
        <Assign userId="S::msinghal@hoopp.com::d3648285-f9ef-4822-9252-46da85daa0c3" userName="Singhal, Mayank" userProvider="AD"/>
      </Event>
      <Event time="2025-02-14T00:41:02.04" id="{F67966A2-0DC1-40E2-B4E1-FE17D277B163}">
        <Attribution userId="S::tkraemer@hoopp.com::8adc1bac-be87-4c37-ab2b-630247ef4dbb" userName="Kraemer, Tobias" userProvider="AD"/>
        <Anchor>
          <Comment id="{10EEEA35-668F-47C0-B41A-4A2A0981E56C}"/>
        </Anchor>
        <SetTitle title="@Singhal, Mayank Since this row is the response, can we move the Readiness Check information to row 11?"/>
      </Event>
    </History>
  </Task>
</Tasks>
</file>

<file path=xl/externalLinks/_rels/externalLink1.xml.rels><?xml version="1.0" encoding="UTF-8" standalone="yes"?>
<Relationships xmlns="http://schemas.openxmlformats.org/package/2006/relationships"><Relationship Id="rId1" Type="http://schemas.openxmlformats.org/officeDocument/2006/relationships/externalLinkPath" Target="HOOPP-DayInLife_v89_U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s>
    <sheetDataSet>
      <sheetData sheetId="0"/>
    </sheetDataSet>
  </externalBook>
</externalLink>
</file>

<file path=xl/persons/person.xml><?xml version="1.0" encoding="utf-8"?>
<personList xmlns="http://schemas.microsoft.com/office/spreadsheetml/2018/threadedcomments" xmlns:x="http://schemas.openxmlformats.org/spreadsheetml/2006/main">
  <person displayName="Singhal, Mayank" id="{8D4B6740-420B-4F95-B04B-4E48D2AA84E4}" userId="msinghal@hoopp.com" providerId="PeoplePicker"/>
  <person displayName="Singhal, Mayank" id="{B4181710-CF99-4D5C-B81D-EB138CF60EC1}" userId="S::msinghal@hoopp.com::d3648285-f9ef-4822-9252-46da85daa0c3" providerId="AD"/>
  <person displayName="Kraemer, Tobias" id="{3CD467DF-597E-4C53-B69B-6A48A21E1B7D}" userId="S::tkraemer@hoopp.com::8adc1bac-be87-4c37-ab2b-630247ef4dbb" providerId="AD"/>
  <person displayName="Sasankan, Manesh" id="{1AE4DDD2-4902-4938-B18F-829F17B4BCB4}" userId="S::MSasankan@hoopp.com::3bfff4d2-f9f4-465a-971c-108d73a663b0"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6ADC8C-9976-4E5E-BC27-10A6D04B0686}" name="Table1" displayName="Table1" ref="A1:D4" totalsRowShown="0" headerRowDxfId="6" headerRowBorderDxfId="4" tableBorderDxfId="5" totalsRowBorderDxfId="3">
  <autoFilter ref="A1:D4" xr:uid="{126ADC8C-9976-4E5E-BC27-10A6D04B0686}">
    <filterColumn colId="0" hiddenButton="1"/>
    <filterColumn colId="1" hiddenButton="1"/>
    <filterColumn colId="2" hiddenButton="1"/>
    <filterColumn colId="3" hiddenButton="1"/>
  </autoFilter>
  <tableColumns count="4">
    <tableColumn id="1" xr3:uid="{584641F3-AA19-4BC6-AA5B-8E5E8B313C40}" name="Alert Type" dataDxfId="2"/>
    <tableColumn id="2" xr3:uid="{DB7C7B11-4A60-4F9F-AC10-6CF70A77875A}" name="Email Subject" dataDxfId="1"/>
    <tableColumn id="3" xr3:uid="{5ADD749A-0765-4742-8BB0-1448DB420816}" name="Action" dataDxfId="0"/>
    <tableColumn id="4" xr3:uid="{AA5F7695-0892-453D-BC30-599023598370}" name="Descriptio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L5" dT="2025-02-14T00:41:02.11" personId="{3CD467DF-597E-4C53-B69B-6A48A21E1B7D}" id="{10EEEA35-668F-47C0-B41A-4A2A0981E56C}">
    <text>@Singhal, Mayank Since this row is the response, can we move the Readiness Check information to row 11?</text>
    <mentions>
      <mention mentionpersonId="{8D4B6740-420B-4F95-B04B-4E48D2AA84E4}" mentionId="{AF465BC3-A190-4236-A02E-F853BE5A7582}" startIndex="0" length="16"/>
    </mentions>
  </threadedComment>
  <threadedComment ref="A11" dT="2024-10-07T20:04:37.19" personId="{1AE4DDD2-4902-4938-B18F-829F17B4BCB4}" id="{3F741216-3026-45F2-BFE3-4905175DEF47}">
    <text xml:space="preserve">Add depends job# </text>
  </threadedComment>
  <threadedComment ref="A12" dT="2024-10-07T20:04:45.73" personId="{1AE4DDD2-4902-4938-B18F-829F17B4BCB4}" id="{C69B17B0-5F7E-417D-A67B-564A6073D366}">
    <text xml:space="preserve">Add depends job# </text>
  </threadedComment>
  <threadedComment ref="AL12" dT="2025-02-14T00:41:02.11" personId="{3CD467DF-597E-4C53-B69B-6A48A21E1B7D}" id="{39F7F8D4-8FE3-4F10-BDEA-E65A2C68ACCD}">
    <text>@Singhal, Mayank Since this row is the response, can we move the Readiness Check information to row 11?</text>
    <mentions>
      <mention mentionpersonId="{8D4B6740-420B-4F95-B04B-4E48D2AA84E4}" mentionId="{23BFB4DD-DDDE-4A27-B511-A9417A8EB272}" startIndex="0" length="16"/>
    </mentions>
  </threadedComment>
  <threadedComment ref="B20" dT="2024-10-07T20:06:10.42" personId="{1AE4DDD2-4902-4938-B18F-829F17B4BCB4}" id="{1A4E3B41-689C-4CE8-8F6B-B445F7678928}">
    <text>Why dependency on job#5</text>
  </threadedComment>
  <threadedComment ref="B20" dT="2024-10-08T15:38:47.80" personId="{B4181710-CF99-4D5C-B81D-EB138CF60EC1}" id="{1161D98C-72FF-40C0-B169-C49F6E536583}" parentId="{1A4E3B41-689C-4CE8-8F6B-B445F7678928}">
    <text>Done</text>
  </threadedComment>
  <threadedComment ref="AD23" dT="2025-02-06T16:31:53.98" personId="{B4181710-CF99-4D5C-B81D-EB138CF60EC1}" id="{5DA04FFC-8780-4D21-A1FA-7AC0153B3D14}">
    <text>Need to confirm with Vikas</text>
  </threadedComment>
  <threadedComment ref="AE23" dT="2025-02-06T16:31:53.98" personId="{B4181710-CF99-4D5C-B81D-EB138CF60EC1}" id="{97520DC3-DCE7-4FD7-9987-D928F38BEE4B}">
    <text>Need to confirm with Vikas</text>
  </threadedComment>
  <threadedComment ref="B26" dT="2024-10-07T20:11:51.89" personId="{1AE4DDD2-4902-4938-B18F-829F17B4BCB4}" id="{E6A27671-5690-40DD-827A-1482A100A7AF}">
    <text>4AM publishing should be dependent on this (job#16)</text>
  </threadedComment>
  <threadedComment ref="A31" dT="2024-10-07T20:13:38.90" personId="{1AE4DDD2-4902-4938-B18F-829F17B4BCB4}" id="{6A672842-ADF2-480E-AE9B-C4AB04A1D482}">
    <text>Please remove this line</text>
  </threadedComment>
  <threadedComment ref="G40" dT="2025-02-14T00:37:18.12" personId="{3CD467DF-597E-4C53-B69B-6A48A21E1B7D}" id="{0B2AF4A2-4F23-4DDB-8336-08DA772B83A1}">
    <text xml:space="preserve">@Singhal, Mayank Is this column the name of the aditlo job that GS uses to create a complete ACK file? If so, do you mind filling in the name for the loads that we will wait for? Actually, we might need this unique name for all jobs, no? </text>
    <mentions>
      <mention mentionpersonId="{8D4B6740-420B-4F95-B04B-4E48D2AA84E4}" mentionId="{60E3D36D-95FF-4CAF-80C0-88AEA471790B}" startIndex="0" length="16"/>
    </mentions>
  </threadedComment>
  <threadedComment ref="B51" dT="2025-02-20T20:40:57.94" personId="{B4181710-CF99-4D5C-B81D-EB138CF60EC1}" id="{1688794A-C2C6-4336-A3C9-A30862D8759C}">
    <text>Should it be 25,31 ?</text>
  </threadedComment>
  <threadedComment ref="AD51" dT="2025-02-20T20:37:28.07" personId="{B4181710-CF99-4D5C-B81D-EB138CF60EC1}" id="{331884EF-9EEE-47C9-9901-6B600E7E52B5}">
    <text>What is the SLO for this JOB?</text>
  </threadedComment>
  <threadedComment ref="AE51" dT="2025-02-20T20:37:28.07" personId="{B4181710-CF99-4D5C-B81D-EB138CF60EC1}" id="{D020ED44-FC0D-4716-BAAA-6DA516587FB5}">
    <text>What is the SLO for this JOB?</text>
  </threadedComment>
  <threadedComment ref="B65" dT="2024-10-07T20:23:18.59" personId="{1AE4DDD2-4902-4938-B18F-829F17B4BCB4}" id="{D2BCF964-BDD5-4A4B-AEB1-61B720F94837}">
    <text xml:space="preserve">Why Depends on Job #3? </text>
  </threadedComment>
  <threadedComment ref="B65" dT="2024-10-08T15:47:26.94" personId="{B4181710-CF99-4D5C-B81D-EB138CF60EC1}" id="{AE0DF784-27AE-46B0-8369-0A6FB76086F5}" parentId="{D2BCF964-BDD5-4A4B-AEB1-61B720F94837}">
    <text>Vikas to Remove this dependency.</text>
  </threadedComment>
</ThreadedComments>
</file>

<file path=xl/worksheets/_rels/sheet1.xml.rels><?xml version="1.0" encoding="UTF-8" standalone="yes"?>
<Relationships xmlns="http://schemas.openxmlformats.org/package/2006/relationships"><Relationship Id="rId3" Type="http://schemas.openxmlformats.org/officeDocument/2006/relationships/hyperlink" Target="mailto:goldensourceoperations@hoopp.com%20for%20now%20HOOPP%20To%20CHECK%20INTERNALLY" TargetMode="External"/><Relationship Id="rId2" Type="http://schemas.openxmlformats.org/officeDocument/2006/relationships/hyperlink" Target="mailto:goldensourceoperations@hoopp.com%20for%20now%20HOOPP%20To%20CHECK%20INTERNALLY" TargetMode="External"/><Relationship Id="rId1" Type="http://schemas.openxmlformats.org/officeDocument/2006/relationships/hyperlink" Target="mailto:pcbond@FTSE.comPhone:%201-866-551-0617" TargetMode="External"/><Relationship Id="rId5" Type="http://schemas.openxmlformats.org/officeDocument/2006/relationships/printerSettings" Target="../printerSettings/printerSettings1.bin"/><Relationship Id="rId4" Type="http://schemas.openxmlformats.org/officeDocument/2006/relationships/hyperlink" Target="mailto:goldensourceoperations@hoopp.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awpiuc4awiapp01.prod.hoopp.cloud:8080/awi/" TargetMode="External"/><Relationship Id="rId13" Type="http://schemas.openxmlformats.org/officeDocument/2006/relationships/hyperlink" Target="mailto:goldensourceoperations@hoopp.com%20for%20now%20HOOPP%20To%20CHECK%20INTERNALLY" TargetMode="External"/><Relationship Id="rId18" Type="http://schemas.openxmlformats.org/officeDocument/2006/relationships/printerSettings" Target="../printerSettings/printerSettings2.bin"/><Relationship Id="rId3" Type="http://schemas.openxmlformats.org/officeDocument/2006/relationships/hyperlink" Target="http://awpiuc4awiapp01.prod.hoopp.cloud:8080/awi/" TargetMode="External"/><Relationship Id="rId21" Type="http://schemas.microsoft.com/office/2017/10/relationships/threadedComment" Target="../threadedComments/threadedComment1.xml"/><Relationship Id="rId7" Type="http://schemas.openxmlformats.org/officeDocument/2006/relationships/hyperlink" Target="http://awpiuc4awiapp01.prod.hoopp.cloud:8080/awi/" TargetMode="External"/><Relationship Id="rId12" Type="http://schemas.openxmlformats.org/officeDocument/2006/relationships/hyperlink" Target="mailto:goldensourceoperations@hoopp.com%20for%20now%20HOOPP%20To%20CHECK%20INTERNALLY" TargetMode="External"/><Relationship Id="rId17" Type="http://schemas.openxmlformats.org/officeDocument/2006/relationships/hyperlink" Target="mailto:Michael.Stone@ihsmarkit.com" TargetMode="External"/><Relationship Id="rId2" Type="http://schemas.openxmlformats.org/officeDocument/2006/relationships/hyperlink" Target="http://awpiuc4awiapp01.prod.hoopp.cloud:8080/awi/" TargetMode="External"/><Relationship Id="rId16" Type="http://schemas.openxmlformats.org/officeDocument/2006/relationships/hyperlink" Target="mailto:support@spglobal.com" TargetMode="External"/><Relationship Id="rId20" Type="http://schemas.openxmlformats.org/officeDocument/2006/relationships/comments" Target="../comments1.xml"/><Relationship Id="rId1" Type="http://schemas.openxmlformats.org/officeDocument/2006/relationships/hyperlink" Target="http://awpiuc4awiapp01.prod.hoopp.cloud:8080/awi/" TargetMode="External"/><Relationship Id="rId6" Type="http://schemas.openxmlformats.org/officeDocument/2006/relationships/hyperlink" Target="http://awpiuc4awiapp01.prod.hoopp.cloud:8080/awi/" TargetMode="External"/><Relationship Id="rId11" Type="http://schemas.openxmlformats.org/officeDocument/2006/relationships/hyperlink" Target="mailto:goldensourceoperations@hoopp.com%20for%20now%20HOOPP%20To%20CHECK%20INTERNALLY" TargetMode="External"/><Relationship Id="rId5" Type="http://schemas.openxmlformats.org/officeDocument/2006/relationships/hyperlink" Target="mailto:pcbond@FTSE.comPhone:%201-866-551-0617" TargetMode="External"/><Relationship Id="rId15" Type="http://schemas.openxmlformats.org/officeDocument/2006/relationships/hyperlink" Target="mailto:goldensourceoperations@hoopp.com%20for%20now%20HOOPP%20To%20CHECK%20WITH%20VENDOR." TargetMode="External"/><Relationship Id="rId10" Type="http://schemas.openxmlformats.org/officeDocument/2006/relationships/hyperlink" Target="mailto:goldensourceoperations@hoopp.com%20for%20now%20HOOPP%20To%20CHECK%20INTERNALLY" TargetMode="External"/><Relationship Id="rId19" Type="http://schemas.openxmlformats.org/officeDocument/2006/relationships/vmlDrawing" Target="../drawings/vmlDrawing1.vml"/><Relationship Id="rId4" Type="http://schemas.openxmlformats.org/officeDocument/2006/relationships/hyperlink" Target="mailto:goldensourceoperations@hoopp.com%20for%20now%20HOOPP%20To%20CHECK%20WITH%20VENDOR." TargetMode="External"/><Relationship Id="rId9" Type="http://schemas.openxmlformats.org/officeDocument/2006/relationships/hyperlink" Target="http://awpiuc4awiapp01.prod.hoopp.cloud:8080/awi/" TargetMode="External"/><Relationship Id="rId14" Type="http://schemas.openxmlformats.org/officeDocument/2006/relationships/hyperlink" Target="mailto:goldensourceoperations@hoopp.com%20for%20now%20HOOPP%20To%20CHECK%20WITH%20VENDOR." TargetMode="External"/><Relationship Id="rId22" Type="http://schemas.microsoft.com/office/2019/04/relationships/documenttask" Target="../documenttasks/documenttask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8" Type="http://schemas.openxmlformats.org/officeDocument/2006/relationships/hyperlink" Target="mailto:A-team@hoopp.com" TargetMode="External"/><Relationship Id="rId3" Type="http://schemas.openxmlformats.org/officeDocument/2006/relationships/hyperlink" Target="mailto:A-team@hoopp.com" TargetMode="External"/><Relationship Id="rId7" Type="http://schemas.openxmlformats.org/officeDocument/2006/relationships/hyperlink" Target="mailto:HOOPP_PV@hoopp.com" TargetMode="External"/><Relationship Id="rId2" Type="http://schemas.openxmlformats.org/officeDocument/2006/relationships/hyperlink" Target="https://urldefense.com/v3/__https:/cl.exct.net/?qs=dfd19307d688b66895272bf2dafb09b00e251da9bc2424cb01e15b472c2d43d54c3e23debe3e02b47fe66be70b809d7b7a8b4d5da9b9ae01__;!!Pbs7EwM!zr6-lSngxhw_TlLn7CDgafpMjPIX10v9dxdBenRGrqBYrZgv-zSCmGObdU7x$" TargetMode="External"/><Relationship Id="rId1" Type="http://schemas.openxmlformats.org/officeDocument/2006/relationships/hyperlink" Target="../../../:t:/s/PSGHub/EQrOpvclZulBlTmyGVUNnKUBaqhWjM07t2-O4VwVdH8Ydg?e=PMdqdW" TargetMode="External"/><Relationship Id="rId6" Type="http://schemas.openxmlformats.org/officeDocument/2006/relationships/hyperlink" Target="mailto:HOOPP_PV@hoopp.com" TargetMode="External"/><Relationship Id="rId5" Type="http://schemas.openxmlformats.org/officeDocument/2006/relationships/hyperlink" Target="mailto:HOOPP_PV@hoopp.com" TargetMode="External"/><Relationship Id="rId4" Type="http://schemas.openxmlformats.org/officeDocument/2006/relationships/hyperlink" Target="mailto:lchsftp1@hoopp.com" TargetMode="External"/><Relationship Id="rId9" Type="http://schemas.openxmlformats.org/officeDocument/2006/relationships/hyperlink" Target="mailto:A@X[bl44vSJt" TargetMode="External"/></Relationships>
</file>

<file path=xl/worksheets/_rels/sheet1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thegoldensource.atlassian.net/wiki/spaces/HOOPP/pages/654606900/Steps+to+take+in+case+OMNI+SLO+Miss+aler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H30"/>
  <sheetViews>
    <sheetView topLeftCell="A22" zoomScale="120" zoomScaleNormal="120" workbookViewId="0">
      <selection activeCell="D28" sqref="D28"/>
    </sheetView>
  </sheetViews>
  <sheetFormatPr defaultRowHeight="15"/>
  <cols>
    <col min="1" max="1" width="2.42578125" customWidth="1"/>
    <col min="2" max="2" width="22.42578125" bestFit="1" customWidth="1"/>
    <col min="3" max="3" width="31.7109375" customWidth="1"/>
    <col min="4" max="4" width="53" customWidth="1"/>
    <col min="5" max="5" width="2" customWidth="1"/>
    <col min="6" max="6" width="38" bestFit="1" customWidth="1"/>
    <col min="7" max="7" width="20" bestFit="1" customWidth="1"/>
    <col min="8" max="8" width="10.5703125" bestFit="1" customWidth="1"/>
  </cols>
  <sheetData>
    <row r="2" spans="2:8">
      <c r="B2" s="1163" t="s">
        <v>0</v>
      </c>
      <c r="C2" s="1164"/>
      <c r="D2" s="1165"/>
      <c r="F2" s="1166" t="s">
        <v>1</v>
      </c>
      <c r="G2" s="1166"/>
      <c r="H2" s="1166"/>
    </row>
    <row r="3" spans="2:8">
      <c r="B3" s="2" t="s">
        <v>2</v>
      </c>
      <c r="C3" s="2" t="s">
        <v>3</v>
      </c>
      <c r="D3" s="4"/>
      <c r="F3" s="7" t="s">
        <v>4</v>
      </c>
      <c r="G3" s="6" t="s">
        <v>5</v>
      </c>
      <c r="H3" s="6" t="s">
        <v>6</v>
      </c>
    </row>
    <row r="4" spans="2:8">
      <c r="B4" s="2"/>
      <c r="C4" s="2" t="s">
        <v>7</v>
      </c>
      <c r="D4" s="1" t="s">
        <v>8</v>
      </c>
      <c r="F4" s="8" t="s">
        <v>9</v>
      </c>
      <c r="G4" s="1" t="s">
        <v>10</v>
      </c>
      <c r="H4" s="1"/>
    </row>
    <row r="5" spans="2:8">
      <c r="B5" s="2"/>
      <c r="C5" s="2" t="s">
        <v>11</v>
      </c>
      <c r="D5" s="1" t="s">
        <v>12</v>
      </c>
      <c r="F5" s="8" t="s">
        <v>13</v>
      </c>
      <c r="G5" s="1" t="s">
        <v>14</v>
      </c>
      <c r="H5" s="1"/>
    </row>
    <row r="6" spans="2:8">
      <c r="B6" s="2" t="s">
        <v>15</v>
      </c>
      <c r="C6" s="46" t="s">
        <v>16</v>
      </c>
      <c r="D6" s="9" t="s">
        <v>17</v>
      </c>
      <c r="F6" s="8" t="s">
        <v>18</v>
      </c>
      <c r="G6" s="1" t="s">
        <v>10</v>
      </c>
      <c r="H6" s="1"/>
    </row>
    <row r="7" spans="2:8">
      <c r="B7" s="2"/>
      <c r="C7" s="46"/>
      <c r="D7" s="9"/>
      <c r="F7" s="47"/>
    </row>
    <row r="8" spans="2:8">
      <c r="B8" s="2" t="s">
        <v>19</v>
      </c>
      <c r="C8" s="2" t="s">
        <v>20</v>
      </c>
      <c r="D8" s="1" t="s">
        <v>21</v>
      </c>
    </row>
    <row r="9" spans="2:8">
      <c r="B9" s="2"/>
      <c r="C9" s="1167" t="s">
        <v>22</v>
      </c>
      <c r="D9" s="1" t="s">
        <v>23</v>
      </c>
    </row>
    <row r="10" spans="2:8">
      <c r="B10" s="2"/>
      <c r="C10" s="1168"/>
      <c r="D10" s="1" t="s">
        <v>24</v>
      </c>
      <c r="F10" s="1163" t="s">
        <v>25</v>
      </c>
      <c r="G10" s="1164"/>
      <c r="H10" s="1165"/>
    </row>
    <row r="11" spans="2:8">
      <c r="B11" s="1"/>
      <c r="C11" s="1169"/>
      <c r="F11" s="6" t="s">
        <v>26</v>
      </c>
      <c r="G11" s="6" t="s">
        <v>27</v>
      </c>
      <c r="H11" s="6" t="s">
        <v>28</v>
      </c>
    </row>
    <row r="12" spans="2:8">
      <c r="B12" s="2"/>
      <c r="C12" s="2" t="s">
        <v>29</v>
      </c>
      <c r="D12" s="1" t="s">
        <v>10</v>
      </c>
      <c r="F12" s="1" t="s">
        <v>30</v>
      </c>
      <c r="G12" s="1" t="s">
        <v>31</v>
      </c>
      <c r="H12" s="5" t="s">
        <v>32</v>
      </c>
    </row>
    <row r="13" spans="2:8">
      <c r="B13" s="2"/>
      <c r="C13" s="2" t="s">
        <v>33</v>
      </c>
      <c r="D13" s="1" t="s">
        <v>10</v>
      </c>
      <c r="F13" s="1" t="s">
        <v>34</v>
      </c>
      <c r="G13" s="1" t="s">
        <v>35</v>
      </c>
      <c r="H13" s="5" t="s">
        <v>32</v>
      </c>
    </row>
    <row r="14" spans="2:8">
      <c r="B14" s="2"/>
      <c r="C14" s="2" t="s">
        <v>36</v>
      </c>
      <c r="D14" s="1" t="s">
        <v>14</v>
      </c>
      <c r="F14" s="1" t="s">
        <v>37</v>
      </c>
      <c r="G14" s="1" t="s">
        <v>38</v>
      </c>
      <c r="H14" s="5" t="s">
        <v>39</v>
      </c>
    </row>
    <row r="15" spans="2:8">
      <c r="B15" s="2"/>
      <c r="C15" s="2" t="s">
        <v>40</v>
      </c>
      <c r="D15" s="1" t="s">
        <v>10</v>
      </c>
      <c r="F15" s="1" t="s">
        <v>41</v>
      </c>
      <c r="G15" s="1" t="s">
        <v>42</v>
      </c>
      <c r="H15" s="5" t="s">
        <v>39</v>
      </c>
    </row>
    <row r="16" spans="2:8">
      <c r="B16" s="2"/>
      <c r="C16" s="2" t="s">
        <v>43</v>
      </c>
      <c r="D16" s="1" t="s">
        <v>14</v>
      </c>
      <c r="F16" s="1" t="s">
        <v>44</v>
      </c>
      <c r="G16" s="1" t="s">
        <v>45</v>
      </c>
      <c r="H16" s="5" t="s">
        <v>39</v>
      </c>
    </row>
    <row r="17" spans="2:8">
      <c r="B17" s="2"/>
      <c r="C17" s="2" t="s">
        <v>46</v>
      </c>
      <c r="D17" s="1" t="s">
        <v>47</v>
      </c>
      <c r="F17" s="1" t="s">
        <v>48</v>
      </c>
      <c r="G17" s="1" t="s">
        <v>49</v>
      </c>
      <c r="H17" s="5" t="s">
        <v>32</v>
      </c>
    </row>
    <row r="18" spans="2:8">
      <c r="B18" s="2"/>
      <c r="C18" s="2" t="s">
        <v>50</v>
      </c>
      <c r="D18" s="1" t="s">
        <v>14</v>
      </c>
    </row>
    <row r="19" spans="2:8">
      <c r="B19" s="1"/>
      <c r="C19" s="2" t="s">
        <v>51</v>
      </c>
      <c r="D19" s="1" t="s">
        <v>52</v>
      </c>
    </row>
    <row r="20" spans="2:8">
      <c r="B20" s="1"/>
      <c r="C20" s="2" t="s">
        <v>53</v>
      </c>
      <c r="D20" s="1" t="s">
        <v>14</v>
      </c>
    </row>
    <row r="21" spans="2:8" ht="39">
      <c r="B21" s="152" t="s">
        <v>54</v>
      </c>
      <c r="C21" s="152" t="s">
        <v>55</v>
      </c>
      <c r="D21" s="130" t="s">
        <v>56</v>
      </c>
    </row>
    <row r="22" spans="2:8" ht="210">
      <c r="B22" s="48"/>
      <c r="C22" s="150" t="s">
        <v>57</v>
      </c>
      <c r="D22" s="165" t="s">
        <v>58</v>
      </c>
    </row>
    <row r="23" spans="2:8" ht="30">
      <c r="B23" s="48"/>
      <c r="C23" s="151" t="s">
        <v>59</v>
      </c>
      <c r="D23" s="165" t="s">
        <v>60</v>
      </c>
    </row>
    <row r="24" spans="2:8" ht="45">
      <c r="B24" s="48"/>
      <c r="C24" s="151" t="s">
        <v>61</v>
      </c>
      <c r="D24" s="131" t="s">
        <v>62</v>
      </c>
    </row>
    <row r="25" spans="2:8" ht="45">
      <c r="B25" s="48"/>
      <c r="C25" s="151" t="s">
        <v>63</v>
      </c>
      <c r="D25" s="165" t="s">
        <v>64</v>
      </c>
    </row>
    <row r="26" spans="2:8" ht="105">
      <c r="B26" s="48"/>
      <c r="C26" s="151" t="s">
        <v>65</v>
      </c>
      <c r="D26" s="165" t="s">
        <v>66</v>
      </c>
    </row>
    <row r="27" spans="2:8" ht="30">
      <c r="B27" s="153"/>
      <c r="C27" s="154" t="s">
        <v>67</v>
      </c>
      <c r="D27" s="166" t="s">
        <v>68</v>
      </c>
    </row>
    <row r="28" spans="2:8" ht="30">
      <c r="B28" s="153"/>
      <c r="C28" s="154" t="s">
        <v>69</v>
      </c>
      <c r="D28" s="167" t="s">
        <v>70</v>
      </c>
    </row>
    <row r="29" spans="2:8" ht="30">
      <c r="B29" s="48"/>
      <c r="C29" s="151" t="s">
        <v>71</v>
      </c>
      <c r="D29" s="168" t="s">
        <v>72</v>
      </c>
    </row>
    <row r="30" spans="2:8">
      <c r="B30" t="s">
        <v>73</v>
      </c>
      <c r="C30">
        <v>9.5</v>
      </c>
    </row>
  </sheetData>
  <mergeCells count="4">
    <mergeCell ref="B2:D2"/>
    <mergeCell ref="F2:H2"/>
    <mergeCell ref="F10:H10"/>
    <mergeCell ref="C9:C11"/>
  </mergeCells>
  <hyperlinks>
    <hyperlink ref="D24" r:id="rId1" xr:uid="{585E8B18-5625-4CC3-A5F3-9847D90B2244}"/>
    <hyperlink ref="D28" r:id="rId2" xr:uid="{F9940143-AA79-4068-A71A-08E381CE2719}"/>
    <hyperlink ref="D29" r:id="rId3" xr:uid="{7A3142C0-BF7E-46B2-A12D-A0236DC74A39}"/>
    <hyperlink ref="D6" r:id="rId4" display="mailto:goldensourceoperations@hoopp.com" xr:uid="{19EB3FDD-AB2F-487C-9E25-EB94FA14117B}"/>
  </hyperlinks>
  <pageMargins left="0.7" right="0.7" top="0.75" bottom="0.75" header="0.3" footer="0.3"/>
  <pageSetup orientation="portrait"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W2663"/>
  <sheetViews>
    <sheetView tabSelected="1" zoomScale="70" zoomScaleNormal="70" workbookViewId="0">
      <pane ySplit="2" topLeftCell="V19" activePane="bottomLeft" state="frozen"/>
      <selection pane="bottomLeft" activeCell="AJ21" sqref="AJ21"/>
    </sheetView>
  </sheetViews>
  <sheetFormatPr defaultColWidth="9.140625" defaultRowHeight="15" outlineLevelCol="1"/>
  <cols>
    <col min="1" max="1" width="5.5703125" style="17" customWidth="1" outlineLevel="1"/>
    <col min="2" max="2" width="13.85546875" style="97" customWidth="1" outlineLevel="1"/>
    <col min="3" max="3" width="12.28515625" style="17" customWidth="1" outlineLevel="1"/>
    <col min="4" max="4" width="22.42578125" style="17" customWidth="1" outlineLevel="1"/>
    <col min="5" max="5" width="48.7109375" style="17" customWidth="1" outlineLevel="1"/>
    <col min="6" max="6" width="11.85546875" style="17" customWidth="1" outlineLevel="1"/>
    <col min="7" max="7" width="49.28515625" style="17" customWidth="1" outlineLevel="1"/>
    <col min="8" max="8" width="9.85546875" style="17" customWidth="1" outlineLevel="1"/>
    <col min="9" max="9" width="18.7109375" style="17" customWidth="1" outlineLevel="1"/>
    <col min="10" max="10" width="27.28515625" style="17" bestFit="1" customWidth="1"/>
    <col min="11" max="11" width="37.28515625" style="17" customWidth="1"/>
    <col min="12" max="12" width="45.85546875" style="17" customWidth="1"/>
    <col min="13" max="13" width="10.28515625" style="24" customWidth="1"/>
    <col min="14" max="14" width="23.85546875" style="630" customWidth="1"/>
    <col min="15" max="15" width="9" style="17" customWidth="1" outlineLevel="1"/>
    <col min="16" max="16" width="11.140625" style="17" customWidth="1" outlineLevel="1"/>
    <col min="17" max="17" width="7.85546875" style="17" customWidth="1" outlineLevel="1"/>
    <col min="18" max="18" width="10.5703125" style="17" customWidth="1" outlineLevel="1"/>
    <col min="19" max="19" width="8.85546875" style="17" customWidth="1" outlineLevel="1"/>
    <col min="20" max="20" width="18" style="17" customWidth="1" outlineLevel="1"/>
    <col min="21" max="21" width="24.42578125" style="17" customWidth="1" outlineLevel="1"/>
    <col min="22" max="22" width="38" style="17" customWidth="1" outlineLevel="1"/>
    <col min="23" max="23" width="13.85546875" style="17" customWidth="1" outlineLevel="1"/>
    <col min="24" max="24" width="28" style="17" customWidth="1" outlineLevel="1"/>
    <col min="25" max="25" width="10.140625" style="17" customWidth="1" outlineLevel="1"/>
    <col min="26" max="26" width="9.7109375" style="24" customWidth="1"/>
    <col min="27" max="27" width="2.5703125" style="17" customWidth="1"/>
    <col min="28" max="28" width="13" style="17" customWidth="1"/>
    <col min="29" max="29" width="9.140625" style="17" customWidth="1"/>
    <col min="30" max="31" width="18.28515625" style="62" customWidth="1"/>
    <col min="32" max="33" width="12.5703125" style="17" customWidth="1"/>
    <col min="34" max="34" width="24.5703125" style="17" customWidth="1"/>
    <col min="35" max="35" width="49.85546875" style="17" customWidth="1"/>
    <col min="36" max="36" width="35.5703125" style="16" customWidth="1"/>
    <col min="37" max="37" width="37.140625" style="40" customWidth="1"/>
    <col min="38" max="39" width="42" style="17" customWidth="1"/>
    <col min="40" max="40" width="36.5703125" style="17" bestFit="1" customWidth="1"/>
    <col min="41" max="41" width="4.42578125" style="17" bestFit="1" customWidth="1"/>
    <col min="42" max="42" width="3.85546875" style="17" bestFit="1" customWidth="1"/>
    <col min="43" max="43" width="4.42578125" style="17" bestFit="1" customWidth="1"/>
    <col min="44" max="44" width="4" style="17" bestFit="1" customWidth="1"/>
    <col min="45" max="46" width="3.85546875" style="17" bestFit="1" customWidth="1"/>
    <col min="47" max="47" width="4.140625" style="17" bestFit="1" customWidth="1"/>
    <col min="48" max="48" width="13.140625" style="17" bestFit="1" customWidth="1"/>
    <col min="49" max="16384" width="9.140625" style="17"/>
  </cols>
  <sheetData>
    <row r="1" spans="1:48" ht="49.5" customHeight="1">
      <c r="A1" s="1159" t="s">
        <v>74</v>
      </c>
      <c r="B1" s="1162" t="s">
        <v>75</v>
      </c>
      <c r="C1" s="1159" t="s">
        <v>76</v>
      </c>
      <c r="D1" s="1159" t="s">
        <v>77</v>
      </c>
      <c r="E1" s="1159" t="s">
        <v>78</v>
      </c>
      <c r="F1" s="1159" t="s">
        <v>79</v>
      </c>
      <c r="G1" s="1159" t="s">
        <v>80</v>
      </c>
      <c r="H1" s="1159" t="s">
        <v>81</v>
      </c>
      <c r="I1" s="1159" t="s">
        <v>82</v>
      </c>
      <c r="J1" s="1159" t="s">
        <v>83</v>
      </c>
      <c r="K1" s="1159" t="s">
        <v>84</v>
      </c>
      <c r="L1" s="1159" t="s">
        <v>85</v>
      </c>
      <c r="M1" s="1155" t="s">
        <v>86</v>
      </c>
      <c r="N1" s="1161" t="s">
        <v>87</v>
      </c>
      <c r="O1" s="1155" t="s">
        <v>88</v>
      </c>
      <c r="P1" s="1161" t="s">
        <v>89</v>
      </c>
      <c r="Q1" s="1161" t="s">
        <v>90</v>
      </c>
      <c r="R1" s="1159" t="s">
        <v>91</v>
      </c>
      <c r="S1" s="1159" t="s">
        <v>92</v>
      </c>
      <c r="T1" s="1159" t="s">
        <v>93</v>
      </c>
      <c r="U1" s="1155" t="s">
        <v>94</v>
      </c>
      <c r="V1" s="1155" t="s">
        <v>95</v>
      </c>
      <c r="W1" s="81" t="s">
        <v>96</v>
      </c>
      <c r="X1" s="81" t="s">
        <v>97</v>
      </c>
      <c r="Y1" s="81" t="s">
        <v>98</v>
      </c>
      <c r="Z1" s="81" t="s">
        <v>99</v>
      </c>
      <c r="AA1" s="81" t="s">
        <v>100</v>
      </c>
      <c r="AB1" s="81" t="s">
        <v>101</v>
      </c>
      <c r="AC1" s="1155" t="s">
        <v>102</v>
      </c>
      <c r="AD1" s="1161" t="s">
        <v>103</v>
      </c>
      <c r="AE1" s="1161" t="s">
        <v>104</v>
      </c>
      <c r="AF1" s="1155" t="s">
        <v>105</v>
      </c>
      <c r="AG1" s="1155" t="s">
        <v>106</v>
      </c>
      <c r="AH1" s="1155" t="s">
        <v>107</v>
      </c>
      <c r="AI1" s="1160" t="s">
        <v>54</v>
      </c>
      <c r="AJ1" s="1155" t="s">
        <v>108</v>
      </c>
      <c r="AK1" s="1155" t="s">
        <v>109</v>
      </c>
      <c r="AL1" s="1158" t="s">
        <v>110</v>
      </c>
      <c r="AM1" s="1158" t="s">
        <v>111</v>
      </c>
      <c r="AN1" s="1157" t="s">
        <v>112</v>
      </c>
      <c r="AO1" s="1156" t="s">
        <v>113</v>
      </c>
      <c r="AP1" s="1156"/>
      <c r="AQ1" s="1156"/>
      <c r="AR1" s="1156"/>
      <c r="AS1" s="1156"/>
      <c r="AT1" s="1156"/>
      <c r="AU1" s="1156"/>
      <c r="AV1" s="88" t="s">
        <v>114</v>
      </c>
    </row>
    <row r="2" spans="1:48" ht="122.1" customHeight="1">
      <c r="A2" s="1159"/>
      <c r="B2" s="1162"/>
      <c r="C2" s="1159"/>
      <c r="D2" s="1159"/>
      <c r="E2" s="1159"/>
      <c r="F2" s="1159"/>
      <c r="G2" s="1159"/>
      <c r="H2" s="1159"/>
      <c r="I2" s="1159"/>
      <c r="J2" s="1159"/>
      <c r="K2" s="1159"/>
      <c r="L2" s="1159"/>
      <c r="M2" s="1155"/>
      <c r="N2" s="1161"/>
      <c r="O2" s="1155"/>
      <c r="P2" s="1161"/>
      <c r="Q2" s="1161"/>
      <c r="R2" s="1159"/>
      <c r="S2" s="1159"/>
      <c r="T2" s="1159"/>
      <c r="U2" s="1155"/>
      <c r="V2" s="1155"/>
      <c r="W2" s="81"/>
      <c r="X2" s="81"/>
      <c r="Y2" s="81"/>
      <c r="Z2" s="81"/>
      <c r="AA2" s="81"/>
      <c r="AB2" s="81"/>
      <c r="AC2" s="1155"/>
      <c r="AD2" s="1161"/>
      <c r="AE2" s="1161"/>
      <c r="AF2" s="1155"/>
      <c r="AG2" s="1155"/>
      <c r="AH2" s="1155"/>
      <c r="AI2" s="1160"/>
      <c r="AJ2" s="1155"/>
      <c r="AK2" s="1155"/>
      <c r="AL2" s="1158"/>
      <c r="AM2" s="1158"/>
      <c r="AN2" s="1157"/>
      <c r="AO2" s="1026" t="s">
        <v>115</v>
      </c>
      <c r="AP2" s="1025" t="s">
        <v>116</v>
      </c>
      <c r="AQ2" s="1025" t="s">
        <v>117</v>
      </c>
      <c r="AR2" s="1025" t="s">
        <v>118</v>
      </c>
      <c r="AS2" s="1025" t="s">
        <v>119</v>
      </c>
      <c r="AT2" s="1025" t="s">
        <v>120</v>
      </c>
      <c r="AU2" s="1025" t="s">
        <v>121</v>
      </c>
    </row>
    <row r="3" spans="1:48" ht="51.75">
      <c r="A3" s="1027">
        <f>MAX(A$1:A1)+1</f>
        <v>1</v>
      </c>
      <c r="B3" s="1028">
        <v>31</v>
      </c>
      <c r="C3" s="1027" t="s">
        <v>122</v>
      </c>
      <c r="D3" s="1027" t="s">
        <v>123</v>
      </c>
      <c r="E3" s="1029" t="s">
        <v>122</v>
      </c>
      <c r="F3" s="1030" t="s">
        <v>24</v>
      </c>
      <c r="G3" s="1031" t="s">
        <v>124</v>
      </c>
      <c r="H3" s="1032" t="s">
        <v>125</v>
      </c>
      <c r="I3" s="1033"/>
      <c r="J3" s="195" t="s">
        <v>126</v>
      </c>
      <c r="K3" s="195" t="s">
        <v>127</v>
      </c>
      <c r="L3" s="1034" t="s">
        <v>128</v>
      </c>
      <c r="M3" s="1035"/>
      <c r="N3" s="70">
        <v>0.97916666666666663</v>
      </c>
      <c r="O3" s="221">
        <f>N3 + TIME(2, 0, 0)</f>
        <v>1.0625</v>
      </c>
      <c r="P3" s="1036">
        <f>N3+Summary!$C$30/24</f>
        <v>1.375</v>
      </c>
      <c r="Q3" s="1036" t="s">
        <v>129</v>
      </c>
      <c r="R3" s="1037"/>
      <c r="S3" s="1037"/>
      <c r="T3" s="101" t="s">
        <v>130</v>
      </c>
      <c r="U3" s="72"/>
      <c r="V3" s="72"/>
      <c r="W3" s="1038"/>
      <c r="X3" s="1039"/>
      <c r="Y3" s="1039"/>
      <c r="Z3" s="1039"/>
      <c r="AA3" s="1032"/>
      <c r="AB3" s="1032" t="s">
        <v>131</v>
      </c>
      <c r="AC3" s="1039"/>
      <c r="AD3" s="70">
        <v>2.0833333333333332E-2</v>
      </c>
      <c r="AE3" s="70">
        <v>5.2083333333333336E-2</v>
      </c>
      <c r="AF3" s="1029"/>
      <c r="AG3" s="1029"/>
      <c r="AH3" s="1040" t="s">
        <v>132</v>
      </c>
      <c r="AI3" s="130" t="s">
        <v>133</v>
      </c>
      <c r="AJ3" s="1041" t="s">
        <v>134</v>
      </c>
      <c r="AK3" s="1042"/>
    </row>
    <row r="4" spans="1:48" ht="51.75">
      <c r="A4" s="20">
        <v>2</v>
      </c>
      <c r="B4" s="91">
        <v>1</v>
      </c>
      <c r="C4" s="20" t="s">
        <v>122</v>
      </c>
      <c r="D4" s="20" t="s">
        <v>123</v>
      </c>
      <c r="E4" s="21" t="s">
        <v>122</v>
      </c>
      <c r="F4" s="127" t="s">
        <v>24</v>
      </c>
      <c r="G4" s="796" t="s">
        <v>135</v>
      </c>
      <c r="H4" s="21" t="s">
        <v>125</v>
      </c>
      <c r="I4" s="21"/>
      <c r="J4" s="20" t="s">
        <v>136</v>
      </c>
      <c r="K4" s="195" t="s">
        <v>137</v>
      </c>
      <c r="L4" s="191" t="s">
        <v>128</v>
      </c>
      <c r="M4" s="76"/>
      <c r="N4" s="61">
        <v>0.98958333333333337</v>
      </c>
      <c r="O4" s="199">
        <f>N4 + TIME(2, 0, 0)</f>
        <v>1.0729166666666667</v>
      </c>
      <c r="P4" s="99">
        <f>N4+Summary!$C$30/24</f>
        <v>1.3854166666666667</v>
      </c>
      <c r="Q4" s="99" t="s">
        <v>129</v>
      </c>
      <c r="R4" s="100" t="s">
        <v>138</v>
      </c>
      <c r="S4" s="65" t="s">
        <v>139</v>
      </c>
      <c r="T4" s="112" t="s">
        <v>130</v>
      </c>
      <c r="U4" s="52"/>
      <c r="V4" s="209"/>
      <c r="W4" s="28"/>
      <c r="X4" s="21"/>
      <c r="Y4" s="20"/>
      <c r="Z4" s="21"/>
      <c r="AA4" s="232"/>
      <c r="AB4" s="232" t="s">
        <v>131</v>
      </c>
      <c r="AC4" s="20"/>
      <c r="AD4" s="70">
        <v>4.1666666666666664E-2</v>
      </c>
      <c r="AE4" s="70">
        <v>5.2083333333333336E-2</v>
      </c>
      <c r="AF4" s="19"/>
      <c r="AG4" s="19" t="s">
        <v>140</v>
      </c>
      <c r="AH4" s="15" t="s">
        <v>132</v>
      </c>
      <c r="AI4" s="130" t="s">
        <v>133</v>
      </c>
      <c r="AJ4" s="45" t="s">
        <v>134</v>
      </c>
    </row>
    <row r="5" spans="1:48" ht="51.75">
      <c r="A5" s="20">
        <v>4</v>
      </c>
      <c r="B5" s="92"/>
      <c r="C5" s="20"/>
      <c r="D5" s="20" t="s">
        <v>123</v>
      </c>
      <c r="E5" s="18"/>
      <c r="F5" s="18"/>
      <c r="G5" s="796" t="s">
        <v>141</v>
      </c>
      <c r="H5" s="21" t="s">
        <v>125</v>
      </c>
      <c r="I5" s="21"/>
      <c r="J5" s="20" t="s">
        <v>126</v>
      </c>
      <c r="K5" s="110" t="s">
        <v>142</v>
      </c>
      <c r="L5" s="63" t="s">
        <v>143</v>
      </c>
      <c r="M5" s="76"/>
      <c r="N5" s="59">
        <v>6.9444444444444447E-4</v>
      </c>
      <c r="O5" s="597"/>
      <c r="P5" s="99">
        <f>N5+(Summary!$C$30)/24</f>
        <v>0.39652777777777776</v>
      </c>
      <c r="Q5" s="73" t="s">
        <v>129</v>
      </c>
      <c r="R5" s="73"/>
      <c r="S5" s="73"/>
      <c r="T5" s="101" t="s">
        <v>144</v>
      </c>
      <c r="U5" s="72"/>
      <c r="V5" s="72"/>
      <c r="W5" s="27"/>
      <c r="X5" s="22"/>
      <c r="Y5" s="22"/>
      <c r="Z5" s="22"/>
      <c r="AA5" s="77"/>
      <c r="AB5" s="77" t="s">
        <v>131</v>
      </c>
      <c r="AC5" s="22"/>
      <c r="AD5" s="59">
        <v>6.25E-2</v>
      </c>
      <c r="AE5" s="59">
        <v>7.2916666666666671E-2</v>
      </c>
      <c r="AF5" s="19"/>
      <c r="AG5" s="19"/>
      <c r="AH5" s="15" t="s">
        <v>132</v>
      </c>
      <c r="AI5" s="130" t="s">
        <v>133</v>
      </c>
      <c r="AJ5" s="45" t="s">
        <v>134</v>
      </c>
      <c r="AL5" s="704" t="s">
        <v>145</v>
      </c>
      <c r="AM5" s="705" t="s">
        <v>146</v>
      </c>
      <c r="AN5" s="706" t="s">
        <v>129</v>
      </c>
      <c r="AO5" s="706" t="s">
        <v>129</v>
      </c>
      <c r="AP5" s="706" t="s">
        <v>129</v>
      </c>
      <c r="AQ5" s="706" t="s">
        <v>129</v>
      </c>
      <c r="AR5" s="706" t="s">
        <v>129</v>
      </c>
      <c r="AS5" s="706" t="s">
        <v>129</v>
      </c>
      <c r="AT5" s="706" t="s">
        <v>129</v>
      </c>
      <c r="AU5" s="706" t="s">
        <v>129</v>
      </c>
      <c r="AV5" s="1052">
        <v>7.9861111111111119E-2</v>
      </c>
    </row>
    <row r="6" spans="1:48" ht="165.75">
      <c r="A6" s="20">
        <v>3</v>
      </c>
      <c r="B6" s="182" t="s">
        <v>147</v>
      </c>
      <c r="C6" s="20" t="s">
        <v>122</v>
      </c>
      <c r="D6" s="20" t="s">
        <v>123</v>
      </c>
      <c r="E6" s="18" t="s">
        <v>122</v>
      </c>
      <c r="F6" s="127" t="s">
        <v>24</v>
      </c>
      <c r="G6" s="797" t="s">
        <v>148</v>
      </c>
      <c r="H6" s="21" t="s">
        <v>125</v>
      </c>
      <c r="I6" s="21"/>
      <c r="J6" s="20" t="s">
        <v>126</v>
      </c>
      <c r="K6" s="110" t="s">
        <v>149</v>
      </c>
      <c r="L6" s="65" t="s">
        <v>150</v>
      </c>
      <c r="M6" s="76"/>
      <c r="N6" s="59">
        <v>6.9444444444444447E-4</v>
      </c>
      <c r="O6" s="199">
        <f>N6 + TIME(2, 0, 0)</f>
        <v>8.4027777777777771E-2</v>
      </c>
      <c r="P6" s="99">
        <f>N6+Summary!$C$30/24</f>
        <v>0.39652777777777776</v>
      </c>
      <c r="Q6" s="99" t="s">
        <v>129</v>
      </c>
      <c r="R6" s="73"/>
      <c r="S6" s="73"/>
      <c r="T6" s="102" t="s">
        <v>151</v>
      </c>
      <c r="U6" s="22"/>
      <c r="V6" s="22"/>
      <c r="W6" s="27"/>
      <c r="X6" s="22"/>
      <c r="Y6" s="22"/>
      <c r="Z6" s="22"/>
      <c r="AA6" s="21"/>
      <c r="AB6" s="21" t="s">
        <v>131</v>
      </c>
      <c r="AC6" s="22"/>
      <c r="AD6" s="59">
        <v>6.25E-2</v>
      </c>
      <c r="AE6" s="59">
        <v>7.2916666666666671E-2</v>
      </c>
      <c r="AF6" s="19"/>
      <c r="AG6" s="19"/>
      <c r="AH6" s="15" t="s">
        <v>132</v>
      </c>
      <c r="AI6" s="130" t="s">
        <v>133</v>
      </c>
      <c r="AJ6" s="45" t="s">
        <v>134</v>
      </c>
    </row>
    <row r="7" spans="1:48" ht="409.6">
      <c r="A7" s="20">
        <v>35.1</v>
      </c>
      <c r="B7" s="182"/>
      <c r="C7" s="20" t="s">
        <v>122</v>
      </c>
      <c r="D7" s="20" t="s">
        <v>152</v>
      </c>
      <c r="E7" s="18" t="s">
        <v>122</v>
      </c>
      <c r="F7" s="127"/>
      <c r="G7" s="21" t="s">
        <v>153</v>
      </c>
      <c r="H7" s="21"/>
      <c r="I7" s="21"/>
      <c r="J7" s="20" t="s">
        <v>154</v>
      </c>
      <c r="K7" s="631" t="s">
        <v>155</v>
      </c>
      <c r="L7" s="109" t="s">
        <v>156</v>
      </c>
      <c r="M7" s="76"/>
      <c r="N7" s="59">
        <v>4.1666666666666664E-2</v>
      </c>
      <c r="O7" s="199">
        <v>0.16666666666666666</v>
      </c>
      <c r="P7" s="99"/>
      <c r="Q7" s="99" t="s">
        <v>129</v>
      </c>
      <c r="R7" s="100" t="s">
        <v>157</v>
      </c>
      <c r="S7" s="73"/>
      <c r="T7" s="101" t="s">
        <v>130</v>
      </c>
      <c r="U7" t="s">
        <v>158</v>
      </c>
      <c r="V7" s="72"/>
      <c r="W7" s="27"/>
      <c r="X7" s="22"/>
      <c r="Y7" s="22"/>
      <c r="Z7" s="231"/>
      <c r="AA7" s="21"/>
      <c r="AB7" s="21"/>
      <c r="AC7" s="22"/>
      <c r="AD7" s="59">
        <v>0.16666666666666666</v>
      </c>
      <c r="AE7" s="59">
        <v>0.1875</v>
      </c>
      <c r="AF7" s="19"/>
      <c r="AG7" s="19" t="s">
        <v>159</v>
      </c>
      <c r="AH7" s="15"/>
      <c r="AI7" s="1056" t="s">
        <v>160</v>
      </c>
      <c r="AJ7" s="45"/>
    </row>
    <row r="8" spans="1:48" ht="409.6">
      <c r="A8" s="20">
        <v>35.200000000000003</v>
      </c>
      <c r="B8" s="182"/>
      <c r="C8" s="20" t="s">
        <v>122</v>
      </c>
      <c r="D8" s="20" t="s">
        <v>152</v>
      </c>
      <c r="E8" s="18" t="s">
        <v>122</v>
      </c>
      <c r="F8" s="127"/>
      <c r="G8" s="21" t="s">
        <v>161</v>
      </c>
      <c r="H8" s="21"/>
      <c r="I8" s="21"/>
      <c r="J8" s="20" t="s">
        <v>154</v>
      </c>
      <c r="K8" s="631" t="s">
        <v>155</v>
      </c>
      <c r="L8" s="109" t="s">
        <v>162</v>
      </c>
      <c r="M8" s="76"/>
      <c r="N8" s="59">
        <v>4.1666666666666664E-2</v>
      </c>
      <c r="O8" s="199">
        <v>0.16666666666666666</v>
      </c>
      <c r="P8" s="99"/>
      <c r="Q8" s="99" t="s">
        <v>129</v>
      </c>
      <c r="R8" s="100" t="s">
        <v>157</v>
      </c>
      <c r="S8" s="73"/>
      <c r="T8" s="101" t="s">
        <v>130</v>
      </c>
      <c r="U8" t="s">
        <v>158</v>
      </c>
      <c r="V8" s="72"/>
      <c r="W8" s="27"/>
      <c r="X8" s="22"/>
      <c r="Y8" s="22"/>
      <c r="Z8" s="231"/>
      <c r="AA8" s="21"/>
      <c r="AB8" s="21"/>
      <c r="AC8" s="22"/>
      <c r="AD8" s="59">
        <v>0.16666666666666666</v>
      </c>
      <c r="AE8" s="59">
        <v>0.1875</v>
      </c>
      <c r="AF8" s="19"/>
      <c r="AG8" s="19" t="s">
        <v>163</v>
      </c>
      <c r="AH8" s="15"/>
      <c r="AI8" s="1056" t="s">
        <v>160</v>
      </c>
      <c r="AJ8" s="45"/>
    </row>
    <row r="9" spans="1:48" s="296" customFormat="1" ht="76.5">
      <c r="A9" s="289">
        <v>35.299999999999997</v>
      </c>
      <c r="B9" s="297">
        <v>35.1</v>
      </c>
      <c r="C9" s="289"/>
      <c r="D9" s="289" t="s">
        <v>152</v>
      </c>
      <c r="E9" s="298"/>
      <c r="F9" s="299" t="s">
        <v>24</v>
      </c>
      <c r="G9" s="993" t="s">
        <v>164</v>
      </c>
      <c r="H9" s="291"/>
      <c r="I9" s="291"/>
      <c r="J9" s="300" t="s">
        <v>165</v>
      </c>
      <c r="K9" s="301" t="s">
        <v>166</v>
      </c>
      <c r="L9" s="302" t="s">
        <v>167</v>
      </c>
      <c r="M9" s="301"/>
      <c r="N9" s="292">
        <v>4.1666666666666664E-2</v>
      </c>
      <c r="O9" s="598">
        <v>0.125</v>
      </c>
      <c r="P9" s="301"/>
      <c r="Q9" s="303" t="s">
        <v>129</v>
      </c>
      <c r="R9" s="301"/>
      <c r="S9" s="301"/>
      <c r="T9" s="1023" t="s">
        <v>168</v>
      </c>
      <c r="U9" s="301" t="s">
        <v>158</v>
      </c>
      <c r="V9" s="301"/>
      <c r="W9" s="301"/>
      <c r="X9" s="301"/>
      <c r="Y9" s="301"/>
      <c r="Z9" s="301"/>
      <c r="AA9" s="291"/>
      <c r="AB9" s="21"/>
      <c r="AC9" s="22"/>
      <c r="AD9" s="292">
        <v>0.16666666666666666</v>
      </c>
      <c r="AE9" s="292">
        <v>0.1875</v>
      </c>
      <c r="AF9" s="304"/>
      <c r="AG9" s="304" t="s">
        <v>169</v>
      </c>
      <c r="AH9" s="290"/>
      <c r="AI9" s="305"/>
      <c r="AJ9" s="306"/>
      <c r="AK9" s="307"/>
      <c r="AL9" s="695" t="s">
        <v>170</v>
      </c>
      <c r="AM9" s="689" t="s">
        <v>171</v>
      </c>
      <c r="AN9" s="696" t="s">
        <v>172</v>
      </c>
      <c r="AO9" s="1043" t="s">
        <v>129</v>
      </c>
      <c r="AP9" s="1043" t="s">
        <v>129</v>
      </c>
      <c r="AQ9" s="1043" t="s">
        <v>129</v>
      </c>
      <c r="AR9" s="1043" t="s">
        <v>129</v>
      </c>
      <c r="AS9" s="1043" t="s">
        <v>173</v>
      </c>
      <c r="AV9" s="1052">
        <v>0.19444444444444445</v>
      </c>
    </row>
    <row r="10" spans="1:48" s="795" customFormat="1" ht="76.5">
      <c r="A10" s="776">
        <v>35.4</v>
      </c>
      <c r="B10" s="777">
        <v>35.200000000000003</v>
      </c>
      <c r="C10" s="776"/>
      <c r="D10" s="776" t="s">
        <v>152</v>
      </c>
      <c r="E10" s="778"/>
      <c r="F10" s="779" t="s">
        <v>24</v>
      </c>
      <c r="G10" s="994" t="s">
        <v>174</v>
      </c>
      <c r="H10" s="780"/>
      <c r="I10" s="780"/>
      <c r="J10" s="781" t="s">
        <v>165</v>
      </c>
      <c r="K10" s="782" t="s">
        <v>166</v>
      </c>
      <c r="L10" s="783" t="s">
        <v>175</v>
      </c>
      <c r="M10" s="782"/>
      <c r="N10" s="784">
        <v>4.1666666666666664E-2</v>
      </c>
      <c r="O10" s="785">
        <v>0.125</v>
      </c>
      <c r="P10" s="782"/>
      <c r="Q10" s="786" t="s">
        <v>129</v>
      </c>
      <c r="R10" s="782"/>
      <c r="S10" s="782"/>
      <c r="T10" s="1024" t="s">
        <v>168</v>
      </c>
      <c r="U10" s="782" t="s">
        <v>158</v>
      </c>
      <c r="V10" s="782"/>
      <c r="W10" s="782"/>
      <c r="X10" s="782"/>
      <c r="Y10" s="782"/>
      <c r="Z10" s="782"/>
      <c r="AA10" s="780"/>
      <c r="AB10" s="780"/>
      <c r="AC10" s="787"/>
      <c r="AD10" s="784">
        <v>0.16666666666666666</v>
      </c>
      <c r="AE10" s="784">
        <v>0.1875</v>
      </c>
      <c r="AF10" s="788"/>
      <c r="AG10" s="788" t="s">
        <v>176</v>
      </c>
      <c r="AH10" s="789"/>
      <c r="AI10" s="790"/>
      <c r="AJ10" s="791"/>
      <c r="AK10" s="792"/>
      <c r="AL10" s="793" t="s">
        <v>177</v>
      </c>
      <c r="AM10" s="794" t="s">
        <v>171</v>
      </c>
      <c r="AN10" s="794" t="s">
        <v>178</v>
      </c>
      <c r="AO10" s="1044" t="s">
        <v>129</v>
      </c>
      <c r="AP10" s="1044" t="s">
        <v>129</v>
      </c>
      <c r="AQ10" s="1044" t="s">
        <v>129</v>
      </c>
      <c r="AR10" s="1044" t="s">
        <v>129</v>
      </c>
      <c r="AS10" s="1044" t="s">
        <v>173</v>
      </c>
      <c r="AV10" s="1052">
        <v>0.19444444444444445</v>
      </c>
    </row>
    <row r="11" spans="1:48" ht="165.75">
      <c r="A11" s="20">
        <v>5</v>
      </c>
      <c r="B11" s="110">
        <v>3</v>
      </c>
      <c r="C11" s="110" t="s">
        <v>122</v>
      </c>
      <c r="D11" s="20" t="s">
        <v>123</v>
      </c>
      <c r="E11" s="110" t="s">
        <v>122</v>
      </c>
      <c r="F11" s="110" t="s">
        <v>24</v>
      </c>
      <c r="G11" s="110" t="s">
        <v>179</v>
      </c>
      <c r="H11" s="110" t="s">
        <v>125</v>
      </c>
      <c r="I11" s="110"/>
      <c r="J11" s="110" t="s">
        <v>136</v>
      </c>
      <c r="K11" s="110" t="s">
        <v>180</v>
      </c>
      <c r="L11" s="65" t="s">
        <v>150</v>
      </c>
      <c r="M11" s="76"/>
      <c r="N11" s="61">
        <v>1.7361111111111112E-2</v>
      </c>
      <c r="O11" s="199">
        <f>N11 + TIME(2, 0, 0)</f>
        <v>0.10069444444444445</v>
      </c>
      <c r="P11" s="99">
        <f>N11+(Summary!$C$30)/24</f>
        <v>0.41319444444444442</v>
      </c>
      <c r="Q11" s="99" t="s">
        <v>129</v>
      </c>
      <c r="R11" s="100" t="s">
        <v>138</v>
      </c>
      <c r="S11" s="65" t="s">
        <v>139</v>
      </c>
      <c r="T11" s="101" t="s">
        <v>151</v>
      </c>
      <c r="U11" s="72"/>
      <c r="V11" s="72"/>
      <c r="W11" s="27"/>
      <c r="X11" s="22"/>
      <c r="Y11" s="22"/>
      <c r="Z11" s="22"/>
      <c r="AA11" s="232"/>
      <c r="AB11" s="232" t="s">
        <v>131</v>
      </c>
      <c r="AC11" s="75"/>
      <c r="AD11" s="59">
        <v>6.25E-2</v>
      </c>
      <c r="AE11" s="59">
        <v>7.2916666666666671E-2</v>
      </c>
      <c r="AF11" s="19"/>
      <c r="AG11" s="19" t="s">
        <v>179</v>
      </c>
      <c r="AH11" s="15" t="s">
        <v>132</v>
      </c>
      <c r="AI11" s="130" t="s">
        <v>133</v>
      </c>
      <c r="AJ11" s="632" t="s">
        <v>134</v>
      </c>
      <c r="AL11" s="702" t="s">
        <v>181</v>
      </c>
      <c r="AM11" s="703" t="s">
        <v>146</v>
      </c>
      <c r="AN11" s="703" t="s">
        <v>129</v>
      </c>
      <c r="AO11" s="706" t="s">
        <v>129</v>
      </c>
      <c r="AP11" s="706" t="s">
        <v>129</v>
      </c>
      <c r="AQ11" s="706" t="s">
        <v>129</v>
      </c>
      <c r="AR11" s="706" t="s">
        <v>129</v>
      </c>
      <c r="AS11" s="706" t="s">
        <v>129</v>
      </c>
      <c r="AV11" s="1052">
        <v>7.9861111111111119E-2</v>
      </c>
    </row>
    <row r="12" spans="1:48" ht="38.25" customHeight="1">
      <c r="A12" s="20">
        <v>6</v>
      </c>
      <c r="B12" s="92">
        <v>4</v>
      </c>
      <c r="C12" s="20" t="s">
        <v>122</v>
      </c>
      <c r="D12" s="20" t="s">
        <v>123</v>
      </c>
      <c r="E12" s="18" t="s">
        <v>122</v>
      </c>
      <c r="F12" s="18"/>
      <c r="G12" s="252" t="s">
        <v>182</v>
      </c>
      <c r="H12" s="21" t="s">
        <v>125</v>
      </c>
      <c r="I12" s="178"/>
      <c r="J12" s="52" t="s">
        <v>136</v>
      </c>
      <c r="K12" s="111" t="s">
        <v>183</v>
      </c>
      <c r="L12" s="63" t="s">
        <v>143</v>
      </c>
      <c r="M12" s="76"/>
      <c r="N12" s="61">
        <v>2.7777777777777776E-2</v>
      </c>
      <c r="O12" s="199">
        <f>N12 + TIME(2, 0, 0)</f>
        <v>0.1111111111111111</v>
      </c>
      <c r="P12" s="99">
        <f>N12+(Summary!$C$30)/24</f>
        <v>0.4236111111111111</v>
      </c>
      <c r="Q12" s="99" t="s">
        <v>129</v>
      </c>
      <c r="R12" s="100" t="s">
        <v>138</v>
      </c>
      <c r="S12" s="65" t="s">
        <v>139</v>
      </c>
      <c r="T12" s="101" t="s">
        <v>144</v>
      </c>
      <c r="U12" s="72"/>
      <c r="V12" s="74"/>
      <c r="W12" s="28"/>
      <c r="X12" s="53"/>
      <c r="Y12" s="22"/>
      <c r="Z12" s="22"/>
      <c r="AA12" s="77"/>
      <c r="AB12" s="77"/>
      <c r="AC12" s="22"/>
      <c r="AD12" s="59">
        <v>0.125</v>
      </c>
      <c r="AE12" s="59">
        <v>7.2916666666666671E-2</v>
      </c>
      <c r="AF12" s="19"/>
      <c r="AG12" s="19" t="s">
        <v>182</v>
      </c>
      <c r="AH12" s="15" t="s">
        <v>132</v>
      </c>
      <c r="AI12" s="130" t="s">
        <v>133</v>
      </c>
      <c r="AJ12" s="45"/>
      <c r="AL12" s="704" t="s">
        <v>145</v>
      </c>
      <c r="AM12" s="705" t="s">
        <v>146</v>
      </c>
      <c r="AN12" s="706" t="s">
        <v>129</v>
      </c>
      <c r="AO12" s="706" t="s">
        <v>129</v>
      </c>
      <c r="AP12" s="706" t="s">
        <v>129</v>
      </c>
      <c r="AQ12" s="706" t="s">
        <v>129</v>
      </c>
      <c r="AR12" s="706" t="s">
        <v>129</v>
      </c>
      <c r="AS12" s="706" t="s">
        <v>129</v>
      </c>
      <c r="AT12" s="706" t="s">
        <v>129</v>
      </c>
      <c r="AU12" s="706" t="s">
        <v>129</v>
      </c>
      <c r="AV12" s="1052">
        <v>7.9861111111111119E-2</v>
      </c>
    </row>
    <row r="13" spans="1:48" ht="58.5" customHeight="1">
      <c r="A13" s="20">
        <v>8</v>
      </c>
      <c r="B13" s="169"/>
      <c r="C13" s="69" t="s">
        <v>122</v>
      </c>
      <c r="D13" s="69"/>
      <c r="E13" s="66" t="s">
        <v>122</v>
      </c>
      <c r="F13" s="67"/>
      <c r="G13" s="252" t="s">
        <v>184</v>
      </c>
      <c r="H13" s="66" t="s">
        <v>125</v>
      </c>
      <c r="I13" s="183"/>
      <c r="J13" s="184" t="s">
        <v>136</v>
      </c>
      <c r="K13" s="111" t="s">
        <v>185</v>
      </c>
      <c r="L13" s="254" t="s">
        <v>186</v>
      </c>
      <c r="M13" s="606"/>
      <c r="N13" s="59">
        <v>0.10416666666666667</v>
      </c>
      <c r="O13" s="199">
        <f>N13 + TIME(2, 0, 0)</f>
        <v>0.1875</v>
      </c>
      <c r="P13" s="99">
        <f>N13+(Summary!$C$30)/24</f>
        <v>0.5</v>
      </c>
      <c r="Q13" s="99" t="s">
        <v>129</v>
      </c>
      <c r="R13" s="100" t="s">
        <v>187</v>
      </c>
      <c r="S13" s="100" t="s">
        <v>188</v>
      </c>
      <c r="T13" s="1020" t="s">
        <v>189</v>
      </c>
      <c r="U13" s="206"/>
      <c r="V13" s="210"/>
      <c r="W13" s="67"/>
      <c r="X13" s="71"/>
      <c r="Y13" s="66"/>
      <c r="Z13" s="181"/>
      <c r="AA13" s="188"/>
      <c r="AB13" s="188"/>
      <c r="AC13" s="66"/>
      <c r="AD13" s="59">
        <v>0.14583333333333334</v>
      </c>
      <c r="AE13" s="59">
        <v>0.15625</v>
      </c>
      <c r="AF13" s="78"/>
      <c r="AG13" s="78" t="s">
        <v>184</v>
      </c>
      <c r="AH13" s="15" t="s">
        <v>132</v>
      </c>
      <c r="AI13" s="1056" t="s">
        <v>160</v>
      </c>
      <c r="AJ13" s="172"/>
      <c r="AL13" s="706" t="s">
        <v>190</v>
      </c>
      <c r="AM13" s="705" t="s">
        <v>146</v>
      </c>
      <c r="AN13" s="706" t="s">
        <v>129</v>
      </c>
      <c r="AO13" s="706" t="s">
        <v>129</v>
      </c>
      <c r="AP13" s="706" t="s">
        <v>129</v>
      </c>
      <c r="AQ13" s="706" t="s">
        <v>129</v>
      </c>
      <c r="AR13" s="706" t="s">
        <v>129</v>
      </c>
      <c r="AS13" s="706" t="s">
        <v>129</v>
      </c>
      <c r="AV13" s="1052">
        <v>0.16319444444444445</v>
      </c>
    </row>
    <row r="14" spans="1:48" ht="56.25" customHeight="1">
      <c r="A14" s="20">
        <v>9</v>
      </c>
      <c r="B14" s="169"/>
      <c r="C14" s="69" t="s">
        <v>122</v>
      </c>
      <c r="D14" s="69"/>
      <c r="E14" s="66" t="s">
        <v>122</v>
      </c>
      <c r="F14" s="67"/>
      <c r="G14" s="252" t="s">
        <v>184</v>
      </c>
      <c r="H14" s="66" t="s">
        <v>125</v>
      </c>
      <c r="I14" s="66"/>
      <c r="J14" s="67" t="s">
        <v>136</v>
      </c>
      <c r="K14" s="110" t="s">
        <v>191</v>
      </c>
      <c r="L14" s="254" t="s">
        <v>192</v>
      </c>
      <c r="M14" s="606"/>
      <c r="N14" s="59">
        <v>0.10416666666666667</v>
      </c>
      <c r="O14" s="199">
        <f>N14 + TIME(2, 0, 0)</f>
        <v>0.1875</v>
      </c>
      <c r="P14" s="99">
        <f>N14+(Summary!$C$30)/24</f>
        <v>0.5</v>
      </c>
      <c r="Q14" s="99" t="s">
        <v>129</v>
      </c>
      <c r="R14" s="100" t="s">
        <v>187</v>
      </c>
      <c r="S14" s="100" t="s">
        <v>188</v>
      </c>
      <c r="T14" s="1021" t="s">
        <v>189</v>
      </c>
      <c r="U14" s="185"/>
      <c r="V14" s="187"/>
      <c r="W14" s="67"/>
      <c r="X14" s="71"/>
      <c r="Y14" s="66"/>
      <c r="Z14" s="181"/>
      <c r="AA14" s="236"/>
      <c r="AB14" s="236"/>
      <c r="AC14" s="66"/>
      <c r="AD14" s="59">
        <v>0.14583333333333334</v>
      </c>
      <c r="AE14" s="59">
        <v>0.15625</v>
      </c>
      <c r="AF14" s="78"/>
      <c r="AG14" s="78" t="s">
        <v>184</v>
      </c>
      <c r="AH14" s="15" t="s">
        <v>132</v>
      </c>
      <c r="AI14" s="1056" t="s">
        <v>160</v>
      </c>
      <c r="AJ14" s="172"/>
      <c r="AL14" s="706" t="s">
        <v>193</v>
      </c>
      <c r="AM14" s="705" t="s">
        <v>146</v>
      </c>
      <c r="AN14" s="706" t="s">
        <v>129</v>
      </c>
      <c r="AO14" s="706" t="s">
        <v>129</v>
      </c>
      <c r="AP14" s="706" t="s">
        <v>129</v>
      </c>
      <c r="AQ14" s="706" t="s">
        <v>129</v>
      </c>
      <c r="AR14" s="706" t="s">
        <v>129</v>
      </c>
      <c r="AS14" s="706" t="s">
        <v>129</v>
      </c>
      <c r="AV14" s="1052">
        <v>0.16319444444444445</v>
      </c>
    </row>
    <row r="15" spans="1:48" s="124" customFormat="1" ht="51" customHeight="1">
      <c r="A15" s="20">
        <v>10</v>
      </c>
      <c r="B15" s="169"/>
      <c r="C15" s="69" t="s">
        <v>122</v>
      </c>
      <c r="D15" s="69" t="s">
        <v>152</v>
      </c>
      <c r="E15" s="66" t="s">
        <v>122</v>
      </c>
      <c r="F15" s="67" t="s">
        <v>24</v>
      </c>
      <c r="G15" s="69" t="s">
        <v>194</v>
      </c>
      <c r="H15" s="66" t="s">
        <v>125</v>
      </c>
      <c r="I15" s="183"/>
      <c r="J15" s="184" t="s">
        <v>136</v>
      </c>
      <c r="K15" s="110" t="s">
        <v>195</v>
      </c>
      <c r="L15" s="65" t="s">
        <v>196</v>
      </c>
      <c r="M15" s="606"/>
      <c r="N15" s="59">
        <v>6.25E-2</v>
      </c>
      <c r="O15" s="199">
        <f>N15 + TIME(2, 0, 0)</f>
        <v>0.14583333333333331</v>
      </c>
      <c r="P15" s="99">
        <f>N15+(Summary!$C$30)/24</f>
        <v>0.45833333333333331</v>
      </c>
      <c r="Q15" s="99" t="s">
        <v>129</v>
      </c>
      <c r="R15" s="100" t="s">
        <v>187</v>
      </c>
      <c r="S15" s="100" t="s">
        <v>188</v>
      </c>
      <c r="T15" s="128" t="s">
        <v>151</v>
      </c>
      <c r="U15" s="185"/>
      <c r="V15" s="187"/>
      <c r="W15" s="67"/>
      <c r="X15" s="71"/>
      <c r="Y15" s="66"/>
      <c r="Z15" s="181"/>
      <c r="AA15" s="171"/>
      <c r="AB15" s="171"/>
      <c r="AC15" s="66"/>
      <c r="AD15" s="59">
        <v>0.14583333333333334</v>
      </c>
      <c r="AE15" s="59">
        <v>0.15625</v>
      </c>
      <c r="AF15" s="78"/>
      <c r="AG15" s="78" t="s">
        <v>194</v>
      </c>
      <c r="AH15" s="15" t="s">
        <v>132</v>
      </c>
      <c r="AI15" s="1056" t="s">
        <v>160</v>
      </c>
      <c r="AJ15" s="172" t="s">
        <v>197</v>
      </c>
      <c r="AK15" s="40"/>
      <c r="AV15" s="1052">
        <v>0.15625</v>
      </c>
    </row>
    <row r="16" spans="1:48" s="319" customFormat="1" ht="76.5" customHeight="1">
      <c r="A16" s="308">
        <v>10.1</v>
      </c>
      <c r="B16" s="308">
        <v>10</v>
      </c>
      <c r="C16" s="308"/>
      <c r="D16" s="308" t="s">
        <v>152</v>
      </c>
      <c r="E16" s="308"/>
      <c r="F16" s="308" t="s">
        <v>24</v>
      </c>
      <c r="G16" s="308" t="s">
        <v>198</v>
      </c>
      <c r="H16" s="308"/>
      <c r="I16" s="308"/>
      <c r="J16" s="309" t="s">
        <v>165</v>
      </c>
      <c r="K16" s="308" t="s">
        <v>166</v>
      </c>
      <c r="L16" s="310" t="s">
        <v>199</v>
      </c>
      <c r="M16" s="308"/>
      <c r="N16" s="311">
        <v>6.25E-2</v>
      </c>
      <c r="O16" s="599">
        <v>0.1875</v>
      </c>
      <c r="P16" s="308"/>
      <c r="Q16" s="308" t="s">
        <v>129</v>
      </c>
      <c r="R16" s="308"/>
      <c r="S16" s="308"/>
      <c r="T16" s="308" t="s">
        <v>151</v>
      </c>
      <c r="U16" s="308"/>
      <c r="V16" s="308"/>
      <c r="W16" s="308"/>
      <c r="X16" s="308"/>
      <c r="Y16" s="308"/>
      <c r="Z16" s="312"/>
      <c r="AA16" s="313"/>
      <c r="AB16" s="171"/>
      <c r="AC16" s="66"/>
      <c r="AD16" s="311">
        <v>0.14583333333333334</v>
      </c>
      <c r="AE16" s="311">
        <v>0.15625</v>
      </c>
      <c r="AF16" s="314"/>
      <c r="AG16" s="314" t="s">
        <v>198</v>
      </c>
      <c r="AH16" s="315"/>
      <c r="AI16" s="316"/>
      <c r="AJ16" s="317"/>
      <c r="AK16" s="318"/>
      <c r="AL16" s="1004" t="s">
        <v>200</v>
      </c>
      <c r="AM16" s="319" t="s">
        <v>171</v>
      </c>
      <c r="AN16" s="319" t="s">
        <v>178</v>
      </c>
      <c r="AO16" s="1045" t="s">
        <v>129</v>
      </c>
      <c r="AP16" s="1045" t="s">
        <v>129</v>
      </c>
      <c r="AQ16" s="1045" t="s">
        <v>129</v>
      </c>
      <c r="AR16" s="1045" t="s">
        <v>129</v>
      </c>
      <c r="AS16" s="1045" t="s">
        <v>129</v>
      </c>
      <c r="AV16" s="1052">
        <v>0.16319444444444445</v>
      </c>
    </row>
    <row r="17" spans="1:48" s="319" customFormat="1" ht="76.5" customHeight="1">
      <c r="A17" s="308">
        <v>10.199999999999999</v>
      </c>
      <c r="B17" s="308" t="s">
        <v>201</v>
      </c>
      <c r="C17" s="308"/>
      <c r="D17" s="308" t="s">
        <v>152</v>
      </c>
      <c r="E17" s="308"/>
      <c r="F17" s="308" t="s">
        <v>24</v>
      </c>
      <c r="G17" s="308" t="s">
        <v>198</v>
      </c>
      <c r="H17" s="308"/>
      <c r="I17" s="308"/>
      <c r="J17" s="309" t="s">
        <v>165</v>
      </c>
      <c r="K17" s="308" t="s">
        <v>166</v>
      </c>
      <c r="L17" s="308" t="s">
        <v>202</v>
      </c>
      <c r="M17" s="308"/>
      <c r="N17" s="311">
        <v>6.25E-2</v>
      </c>
      <c r="O17" s="599">
        <v>0.1875</v>
      </c>
      <c r="P17" s="308"/>
      <c r="Q17" s="308" t="s">
        <v>129</v>
      </c>
      <c r="R17" s="308"/>
      <c r="S17" s="308"/>
      <c r="T17" s="308" t="s">
        <v>151</v>
      </c>
      <c r="U17" s="308"/>
      <c r="V17" s="308"/>
      <c r="W17" s="308"/>
      <c r="X17" s="308"/>
      <c r="Y17" s="308"/>
      <c r="Z17" s="312"/>
      <c r="AA17" s="313"/>
      <c r="AB17" s="775"/>
      <c r="AC17" s="313"/>
      <c r="AD17" s="311">
        <v>0.14583333333333334</v>
      </c>
      <c r="AE17" s="311">
        <v>0.15625</v>
      </c>
      <c r="AF17" s="314"/>
      <c r="AG17" s="314" t="s">
        <v>198</v>
      </c>
      <c r="AH17" s="315"/>
      <c r="AI17" s="316"/>
      <c r="AJ17" s="317"/>
      <c r="AK17" s="318"/>
      <c r="AL17" s="1004" t="s">
        <v>200</v>
      </c>
      <c r="AM17" s="319" t="s">
        <v>171</v>
      </c>
      <c r="AN17" s="319" t="s">
        <v>178</v>
      </c>
      <c r="AO17" s="1045" t="s">
        <v>129</v>
      </c>
      <c r="AP17" s="1045" t="s">
        <v>129</v>
      </c>
      <c r="AQ17" s="1045" t="s">
        <v>129</v>
      </c>
      <c r="AR17" s="1045" t="s">
        <v>129</v>
      </c>
      <c r="AS17" s="1045" t="s">
        <v>129</v>
      </c>
      <c r="AV17" s="1052">
        <v>0.16319444444444445</v>
      </c>
    </row>
    <row r="18" spans="1:48" ht="75" customHeight="1">
      <c r="A18" s="20">
        <v>11</v>
      </c>
      <c r="B18" s="169"/>
      <c r="C18" s="69" t="s">
        <v>122</v>
      </c>
      <c r="D18" s="69" t="s">
        <v>152</v>
      </c>
      <c r="E18" s="66" t="s">
        <v>122</v>
      </c>
      <c r="F18" s="67" t="s">
        <v>24</v>
      </c>
      <c r="G18" s="798" t="s">
        <v>203</v>
      </c>
      <c r="H18" s="66" t="s">
        <v>125</v>
      </c>
      <c r="I18" s="66"/>
      <c r="J18" s="67" t="s">
        <v>136</v>
      </c>
      <c r="K18" s="110" t="s">
        <v>204</v>
      </c>
      <c r="L18" s="63" t="s">
        <v>205</v>
      </c>
      <c r="M18" s="606"/>
      <c r="N18" s="59">
        <v>6.25E-2</v>
      </c>
      <c r="O18" s="199">
        <f>N18 + TIME(2, 0, 0)</f>
        <v>0.14583333333333331</v>
      </c>
      <c r="P18" s="99">
        <f>N18+(Summary!$C$30)/24</f>
        <v>0.45833333333333331</v>
      </c>
      <c r="Q18" s="99" t="s">
        <v>129</v>
      </c>
      <c r="R18" s="100" t="s">
        <v>187</v>
      </c>
      <c r="S18" s="100" t="s">
        <v>188</v>
      </c>
      <c r="T18" s="128" t="s">
        <v>151</v>
      </c>
      <c r="U18" s="170"/>
      <c r="V18" s="67"/>
      <c r="W18" s="67"/>
      <c r="X18" s="71"/>
      <c r="Y18" s="66"/>
      <c r="Z18" s="181"/>
      <c r="AA18" s="171"/>
      <c r="AB18" s="171"/>
      <c r="AC18" s="66"/>
      <c r="AD18" s="59">
        <v>0.125</v>
      </c>
      <c r="AE18" s="60">
        <v>0.14583333333333334</v>
      </c>
      <c r="AF18" s="78"/>
      <c r="AG18" s="78" t="s">
        <v>206</v>
      </c>
      <c r="AH18" s="15" t="s">
        <v>132</v>
      </c>
      <c r="AI18" s="1056" t="s">
        <v>160</v>
      </c>
      <c r="AJ18" s="172"/>
      <c r="AV18" s="1052">
        <v>0.14583333333333334</v>
      </c>
    </row>
    <row r="19" spans="1:48" s="360" customFormat="1" ht="76.5" customHeight="1">
      <c r="A19" s="350">
        <v>11.1</v>
      </c>
      <c r="B19" s="350">
        <v>11</v>
      </c>
      <c r="C19" s="350"/>
      <c r="D19" s="350" t="s">
        <v>152</v>
      </c>
      <c r="E19" s="350"/>
      <c r="F19" s="350" t="s">
        <v>24</v>
      </c>
      <c r="G19" s="350"/>
      <c r="H19" s="350"/>
      <c r="I19" s="350"/>
      <c r="J19" s="351" t="s">
        <v>207</v>
      </c>
      <c r="K19" s="350" t="s">
        <v>166</v>
      </c>
      <c r="L19" s="350" t="s">
        <v>208</v>
      </c>
      <c r="M19" s="350"/>
      <c r="N19" s="352">
        <v>0.10416666666666667</v>
      </c>
      <c r="O19" s="600">
        <v>0.1875</v>
      </c>
      <c r="P19" s="350"/>
      <c r="Q19" s="350" t="s">
        <v>129</v>
      </c>
      <c r="R19" s="350"/>
      <c r="S19" s="350"/>
      <c r="T19" s="350" t="s">
        <v>151</v>
      </c>
      <c r="U19" s="350"/>
      <c r="V19" s="350"/>
      <c r="W19" s="350"/>
      <c r="X19" s="350"/>
      <c r="Y19" s="350"/>
      <c r="Z19" s="353"/>
      <c r="AA19" s="354"/>
      <c r="AB19" s="171"/>
      <c r="AC19" s="66"/>
      <c r="AD19" s="60">
        <v>0.125</v>
      </c>
      <c r="AE19" s="60">
        <v>0.14583333333333334</v>
      </c>
      <c r="AF19" s="355"/>
      <c r="AG19" s="355" t="s">
        <v>209</v>
      </c>
      <c r="AH19" s="356"/>
      <c r="AI19" s="357"/>
      <c r="AJ19" s="358"/>
      <c r="AK19" s="359"/>
      <c r="AV19" s="1052">
        <v>0.14583333333333334</v>
      </c>
    </row>
    <row r="20" spans="1:48" ht="38.25" customHeight="1">
      <c r="A20" s="20">
        <v>12</v>
      </c>
      <c r="B20" s="92"/>
      <c r="C20" s="20" t="s">
        <v>122</v>
      </c>
      <c r="D20" s="20"/>
      <c r="E20" s="18" t="s">
        <v>122</v>
      </c>
      <c r="F20" s="18"/>
      <c r="G20" s="252" t="s">
        <v>210</v>
      </c>
      <c r="H20" s="21" t="s">
        <v>125</v>
      </c>
      <c r="I20" s="21"/>
      <c r="J20" s="20" t="s">
        <v>136</v>
      </c>
      <c r="K20" s="110" t="s">
        <v>211</v>
      </c>
      <c r="L20" s="63" t="s">
        <v>212</v>
      </c>
      <c r="M20" s="76"/>
      <c r="N20" s="61">
        <v>0.78125</v>
      </c>
      <c r="O20" s="199">
        <f>N20 + TIME(2, 0, 0)</f>
        <v>0.86458333333333337</v>
      </c>
      <c r="P20" s="99">
        <f>N20+(Summary!$C$30)/24</f>
        <v>1.1770833333333333</v>
      </c>
      <c r="Q20" s="99" t="s">
        <v>129</v>
      </c>
      <c r="R20" s="100" t="s">
        <v>213</v>
      </c>
      <c r="S20" s="65" t="s">
        <v>214</v>
      </c>
      <c r="T20" s="102" t="s">
        <v>144</v>
      </c>
      <c r="U20" s="22"/>
      <c r="V20" s="23"/>
      <c r="W20" s="28"/>
      <c r="X20" s="53"/>
      <c r="Y20" s="22"/>
      <c r="Z20" s="22" t="s">
        <v>215</v>
      </c>
      <c r="AA20" s="21"/>
      <c r="AB20" s="21"/>
      <c r="AC20" s="22"/>
      <c r="AD20" s="998">
        <v>0.8125</v>
      </c>
      <c r="AE20" s="998">
        <v>0.82291666666666663</v>
      </c>
      <c r="AF20" s="19"/>
      <c r="AG20" s="19" t="s">
        <v>210</v>
      </c>
      <c r="AH20" s="15" t="s">
        <v>132</v>
      </c>
      <c r="AI20" s="130" t="s">
        <v>56</v>
      </c>
      <c r="AJ20" s="45"/>
      <c r="AL20" s="79" t="s">
        <v>212</v>
      </c>
      <c r="AM20" s="705" t="s">
        <v>146</v>
      </c>
      <c r="AN20" s="88" t="s">
        <v>216</v>
      </c>
      <c r="AO20" s="88" t="s">
        <v>178</v>
      </c>
      <c r="AP20" s="88" t="s">
        <v>178</v>
      </c>
      <c r="AQ20" s="88" t="s">
        <v>178</v>
      </c>
      <c r="AR20" s="88" t="s">
        <v>178</v>
      </c>
      <c r="AS20" s="88" t="s">
        <v>178</v>
      </c>
      <c r="AT20" s="88" t="s">
        <v>178</v>
      </c>
      <c r="AU20" s="88" t="s">
        <v>178</v>
      </c>
      <c r="AV20" s="1052">
        <v>0.82986111111111105</v>
      </c>
    </row>
    <row r="21" spans="1:48" ht="105" customHeight="1">
      <c r="A21" s="20">
        <v>13</v>
      </c>
      <c r="B21" s="169"/>
      <c r="C21" s="69" t="s">
        <v>122</v>
      </c>
      <c r="D21" s="69"/>
      <c r="E21" s="66" t="s">
        <v>122</v>
      </c>
      <c r="F21" s="67"/>
      <c r="G21" s="69" t="s">
        <v>217</v>
      </c>
      <c r="H21" s="66" t="s">
        <v>125</v>
      </c>
      <c r="I21" s="66"/>
      <c r="J21" s="67" t="s">
        <v>136</v>
      </c>
      <c r="K21" s="110" t="s">
        <v>218</v>
      </c>
      <c r="L21" s="65" t="s">
        <v>219</v>
      </c>
      <c r="M21" s="606"/>
      <c r="N21" s="60">
        <v>0.875</v>
      </c>
      <c r="O21" s="199">
        <f>N21 + TIME(2, 0, 0)</f>
        <v>0.95833333333333337</v>
      </c>
      <c r="P21" s="99">
        <f>N21+([1]Summary!$C$30)/24</f>
        <v>0.875</v>
      </c>
      <c r="Q21" s="749" t="s">
        <v>178</v>
      </c>
      <c r="R21" s="100" t="s">
        <v>213</v>
      </c>
      <c r="S21" s="65" t="s">
        <v>214</v>
      </c>
      <c r="T21" s="1061" t="s">
        <v>220</v>
      </c>
      <c r="U21" s="170"/>
      <c r="V21" s="67"/>
      <c r="W21" s="67"/>
      <c r="X21" s="71"/>
      <c r="Y21" s="66"/>
      <c r="Z21" s="181"/>
      <c r="AA21" s="171"/>
      <c r="AB21" s="171"/>
      <c r="AC21" s="66"/>
      <c r="AD21" s="998">
        <v>0.91666666666666663</v>
      </c>
      <c r="AE21" s="998">
        <v>0.92708333333333337</v>
      </c>
      <c r="AF21" s="78"/>
      <c r="AG21" s="78" t="s">
        <v>217</v>
      </c>
      <c r="AH21" s="15" t="s">
        <v>132</v>
      </c>
      <c r="AI21" s="1057" t="s">
        <v>221</v>
      </c>
      <c r="AJ21" s="172"/>
      <c r="AL21" s="1019" t="s">
        <v>222</v>
      </c>
      <c r="AM21" s="705" t="s">
        <v>146</v>
      </c>
      <c r="AN21" s="706" t="s">
        <v>129</v>
      </c>
      <c r="AO21" s="1062" t="s">
        <v>178</v>
      </c>
      <c r="AP21" s="1062" t="s">
        <v>178</v>
      </c>
      <c r="AQ21" s="1062" t="s">
        <v>178</v>
      </c>
      <c r="AR21" s="1062" t="s">
        <v>178</v>
      </c>
      <c r="AS21" s="1062" t="s">
        <v>178</v>
      </c>
      <c r="AT21" s="1063"/>
      <c r="AU21" s="1062" t="s">
        <v>178</v>
      </c>
      <c r="AV21" s="1064">
        <v>0.93402777777777779</v>
      </c>
    </row>
    <row r="22" spans="1:48" ht="31.5" customHeight="1">
      <c r="A22" s="20">
        <v>14</v>
      </c>
      <c r="B22" s="169"/>
      <c r="C22" s="69" t="s">
        <v>122</v>
      </c>
      <c r="D22" s="69"/>
      <c r="E22" s="66" t="s">
        <v>122</v>
      </c>
      <c r="F22" s="67"/>
      <c r="G22" s="69" t="s">
        <v>217</v>
      </c>
      <c r="H22" s="66" t="s">
        <v>125</v>
      </c>
      <c r="I22" s="66"/>
      <c r="J22" s="67" t="s">
        <v>136</v>
      </c>
      <c r="K22" s="110" t="s">
        <v>223</v>
      </c>
      <c r="L22" s="65" t="s">
        <v>224</v>
      </c>
      <c r="M22" s="606"/>
      <c r="N22" s="60">
        <v>0.875</v>
      </c>
      <c r="O22" s="199">
        <f>N22 + TIME(2, 0, 0)</f>
        <v>0.95833333333333337</v>
      </c>
      <c r="P22" s="99">
        <f>N22+([1]Summary!$C$30)/24</f>
        <v>0.875</v>
      </c>
      <c r="Q22" s="749" t="s">
        <v>178</v>
      </c>
      <c r="R22" s="100" t="s">
        <v>213</v>
      </c>
      <c r="S22" s="65" t="s">
        <v>214</v>
      </c>
      <c r="T22" s="1061" t="s">
        <v>220</v>
      </c>
      <c r="U22" s="170"/>
      <c r="V22" s="67"/>
      <c r="W22" s="67"/>
      <c r="X22" s="71"/>
      <c r="Y22" s="66"/>
      <c r="Z22" s="181"/>
      <c r="AA22" s="171"/>
      <c r="AB22" s="171"/>
      <c r="AC22" s="66"/>
      <c r="AD22" s="998">
        <v>0.91666666666666663</v>
      </c>
      <c r="AE22" s="998">
        <v>0.92708333333333337</v>
      </c>
      <c r="AF22" s="78"/>
      <c r="AG22" s="78" t="s">
        <v>217</v>
      </c>
      <c r="AH22" s="15" t="s">
        <v>132</v>
      </c>
      <c r="AI22" s="1057" t="s">
        <v>221</v>
      </c>
      <c r="AJ22" s="172"/>
      <c r="AL22" s="1019" t="s">
        <v>225</v>
      </c>
      <c r="AM22" s="706" t="s">
        <v>146</v>
      </c>
      <c r="AN22" s="706" t="s">
        <v>129</v>
      </c>
      <c r="AO22" s="1062" t="s">
        <v>178</v>
      </c>
      <c r="AP22" s="1062" t="s">
        <v>178</v>
      </c>
      <c r="AQ22" s="1062" t="s">
        <v>178</v>
      </c>
      <c r="AR22" s="1062" t="s">
        <v>178</v>
      </c>
      <c r="AS22" s="1062" t="s">
        <v>178</v>
      </c>
      <c r="AT22" s="1063"/>
      <c r="AU22" s="1062" t="s">
        <v>178</v>
      </c>
      <c r="AV22" s="1064">
        <v>0.93402777777777779</v>
      </c>
    </row>
    <row r="23" spans="1:48" s="405" customFormat="1" ht="112.5" customHeight="1">
      <c r="A23" s="383">
        <v>7</v>
      </c>
      <c r="B23" s="384">
        <v>5</v>
      </c>
      <c r="C23" s="383"/>
      <c r="D23" s="383" t="s">
        <v>123</v>
      </c>
      <c r="E23" s="385"/>
      <c r="F23" s="386" t="s">
        <v>24</v>
      </c>
      <c r="G23" s="387"/>
      <c r="H23" s="387" t="s">
        <v>125</v>
      </c>
      <c r="I23" s="387"/>
      <c r="J23" s="387" t="s">
        <v>226</v>
      </c>
      <c r="K23" s="388" t="s">
        <v>166</v>
      </c>
      <c r="L23" s="389"/>
      <c r="M23" s="607"/>
      <c r="N23" s="622">
        <v>5.2083333333333336E-2</v>
      </c>
      <c r="O23" s="414"/>
      <c r="P23" s="390">
        <f>N23+(Summary!$C$30)/24</f>
        <v>0.44791666666666663</v>
      </c>
      <c r="Q23" s="390" t="s">
        <v>129</v>
      </c>
      <c r="R23" s="391"/>
      <c r="S23" s="392"/>
      <c r="T23" s="393" t="s">
        <v>151</v>
      </c>
      <c r="U23" s="394"/>
      <c r="V23" s="395"/>
      <c r="W23" s="396"/>
      <c r="X23" s="397"/>
      <c r="Y23" s="394"/>
      <c r="Z23" s="394"/>
      <c r="AA23" s="398"/>
      <c r="AB23" s="125"/>
      <c r="AC23" s="207"/>
      <c r="AD23" s="60">
        <v>8.3333333333333329E-2</v>
      </c>
      <c r="AE23" s="60">
        <v>9.375E-2</v>
      </c>
      <c r="AF23" s="400"/>
      <c r="AG23" s="400" t="s">
        <v>227</v>
      </c>
      <c r="AH23" s="401"/>
      <c r="AI23" s="402" t="s">
        <v>228</v>
      </c>
      <c r="AJ23" s="403"/>
      <c r="AK23" s="404"/>
      <c r="AL23" s="1046" t="s">
        <v>181</v>
      </c>
      <c r="AM23" s="1046" t="s">
        <v>171</v>
      </c>
      <c r="AN23" s="1046" t="s">
        <v>129</v>
      </c>
      <c r="AO23" s="1046" t="s">
        <v>129</v>
      </c>
      <c r="AP23" s="1046" t="s">
        <v>129</v>
      </c>
      <c r="AQ23" s="1046" t="s">
        <v>129</v>
      </c>
      <c r="AR23" s="1046" t="s">
        <v>129</v>
      </c>
      <c r="AS23" s="1046" t="s">
        <v>129</v>
      </c>
      <c r="AV23" s="1052">
        <v>0.10069444444444445</v>
      </c>
    </row>
    <row r="24" spans="1:48" ht="127.5">
      <c r="A24" s="20">
        <v>33</v>
      </c>
      <c r="B24" s="169"/>
      <c r="C24" s="69" t="s">
        <v>122</v>
      </c>
      <c r="D24" s="69"/>
      <c r="E24" s="66" t="s">
        <v>122</v>
      </c>
      <c r="F24" s="67"/>
      <c r="G24" s="69" t="s">
        <v>229</v>
      </c>
      <c r="H24" s="66" t="s">
        <v>125</v>
      </c>
      <c r="I24" s="66"/>
      <c r="J24" s="67" t="s">
        <v>136</v>
      </c>
      <c r="K24" s="110" t="s">
        <v>230</v>
      </c>
      <c r="L24" s="65" t="s">
        <v>231</v>
      </c>
      <c r="M24" s="606"/>
      <c r="N24" s="60">
        <v>0.875</v>
      </c>
      <c r="O24" s="199">
        <f t="shared" ref="O24:O25" si="0">N24 + TIME(2, 0, 0)</f>
        <v>0.95833333333333337</v>
      </c>
      <c r="P24" s="99">
        <f>N24+([1]Summary!$C$30)/24</f>
        <v>0.875</v>
      </c>
      <c r="Q24" s="749" t="s">
        <v>178</v>
      </c>
      <c r="R24" s="100" t="s">
        <v>213</v>
      </c>
      <c r="S24" s="65" t="s">
        <v>232</v>
      </c>
      <c r="T24" s="1065" t="s">
        <v>120</v>
      </c>
      <c r="U24" s="170"/>
      <c r="V24" s="67"/>
      <c r="W24" s="67"/>
      <c r="X24" s="71"/>
      <c r="Y24" s="66"/>
      <c r="Z24" s="181"/>
      <c r="AA24" s="171"/>
      <c r="AB24" s="171"/>
      <c r="AC24" s="66"/>
      <c r="AD24" s="998">
        <v>0.91666666666666663</v>
      </c>
      <c r="AE24" s="998">
        <v>0.92708333333333337</v>
      </c>
      <c r="AF24" s="78"/>
      <c r="AG24" s="78"/>
      <c r="AH24" s="15" t="s">
        <v>132</v>
      </c>
      <c r="AI24" s="1057" t="s">
        <v>221</v>
      </c>
      <c r="AJ24" s="172"/>
      <c r="AL24" s="1019" t="s">
        <v>233</v>
      </c>
      <c r="AM24" s="706" t="s">
        <v>146</v>
      </c>
      <c r="AN24" s="706" t="s">
        <v>129</v>
      </c>
      <c r="AT24" s="1062" t="s">
        <v>178</v>
      </c>
      <c r="AV24" s="1064">
        <v>0.93402777777777779</v>
      </c>
    </row>
    <row r="25" spans="1:48" s="55" customFormat="1" ht="102">
      <c r="A25" s="20">
        <v>34</v>
      </c>
      <c r="B25" s="169"/>
      <c r="C25" s="69" t="s">
        <v>122</v>
      </c>
      <c r="D25" s="69"/>
      <c r="E25" s="66" t="s">
        <v>122</v>
      </c>
      <c r="F25" s="67"/>
      <c r="G25" s="69" t="s">
        <v>229</v>
      </c>
      <c r="H25" s="66" t="s">
        <v>125</v>
      </c>
      <c r="I25" s="66"/>
      <c r="J25" s="67" t="s">
        <v>136</v>
      </c>
      <c r="K25" s="110" t="s">
        <v>234</v>
      </c>
      <c r="L25" s="65" t="s">
        <v>235</v>
      </c>
      <c r="M25" s="606"/>
      <c r="N25" s="60">
        <v>0.875</v>
      </c>
      <c r="O25" s="199">
        <f t="shared" si="0"/>
        <v>0.95833333333333337</v>
      </c>
      <c r="P25" s="99">
        <f>N25+([1]Summary!$C$30)/24</f>
        <v>0.875</v>
      </c>
      <c r="Q25" s="749" t="s">
        <v>178</v>
      </c>
      <c r="R25" s="100" t="s">
        <v>213</v>
      </c>
      <c r="S25" s="65" t="s">
        <v>232</v>
      </c>
      <c r="T25" s="1065" t="s">
        <v>120</v>
      </c>
      <c r="U25" s="170"/>
      <c r="V25" s="67"/>
      <c r="W25" s="67"/>
      <c r="X25" s="71"/>
      <c r="Y25" s="66"/>
      <c r="Z25" s="181"/>
      <c r="AA25" s="171"/>
      <c r="AB25" s="171"/>
      <c r="AC25" s="66"/>
      <c r="AD25" s="998">
        <v>0.91666666666666663</v>
      </c>
      <c r="AE25" s="998">
        <v>0.92708333333333337</v>
      </c>
      <c r="AF25" s="78"/>
      <c r="AG25" s="78"/>
      <c r="AH25" s="15" t="s">
        <v>132</v>
      </c>
      <c r="AI25" s="1057" t="s">
        <v>221</v>
      </c>
      <c r="AJ25" s="172"/>
      <c r="AK25" s="40"/>
      <c r="AL25" s="1019" t="s">
        <v>236</v>
      </c>
      <c r="AM25" s="706" t="s">
        <v>146</v>
      </c>
      <c r="AN25" s="706" t="s">
        <v>129</v>
      </c>
      <c r="AT25" s="1062" t="s">
        <v>178</v>
      </c>
      <c r="AV25" s="1064">
        <v>0.93402777777777779</v>
      </c>
    </row>
    <row r="26" spans="1:48" s="56" customFormat="1" ht="75">
      <c r="A26" s="20">
        <v>15</v>
      </c>
      <c r="B26" s="93"/>
      <c r="C26" s="65" t="s">
        <v>122</v>
      </c>
      <c r="D26" s="65"/>
      <c r="E26" s="65" t="s">
        <v>122</v>
      </c>
      <c r="F26" s="68"/>
      <c r="G26" s="252" t="s">
        <v>237</v>
      </c>
      <c r="H26" s="21" t="s">
        <v>125</v>
      </c>
      <c r="I26" s="203"/>
      <c r="J26" s="65" t="s">
        <v>136</v>
      </c>
      <c r="K26" s="109" t="s">
        <v>238</v>
      </c>
      <c r="L26" s="65" t="s">
        <v>239</v>
      </c>
      <c r="M26" s="76"/>
      <c r="N26" s="59">
        <v>0.16666666666666666</v>
      </c>
      <c r="O26" s="199">
        <f t="shared" ref="O26:O30" si="1">N26 + TIME(2, 0, 0)</f>
        <v>0.25</v>
      </c>
      <c r="P26" s="99">
        <f>N26+(Summary!$C$30)/24</f>
        <v>0.5625</v>
      </c>
      <c r="Q26" s="99" t="s">
        <v>129</v>
      </c>
      <c r="R26" s="100" t="s">
        <v>240</v>
      </c>
      <c r="S26" s="65" t="s">
        <v>241</v>
      </c>
      <c r="T26" s="103" t="s">
        <v>242</v>
      </c>
      <c r="U26" s="65"/>
      <c r="V26" s="65"/>
      <c r="W26" s="68"/>
      <c r="X26" s="65"/>
      <c r="Y26" s="76"/>
      <c r="Z26" s="65"/>
      <c r="AA26" s="77"/>
      <c r="AB26" s="77" t="s">
        <v>243</v>
      </c>
      <c r="AC26" s="65"/>
      <c r="AD26" s="59">
        <v>0.1875</v>
      </c>
      <c r="AE26" s="60">
        <v>0.20833333333333334</v>
      </c>
      <c r="AF26" s="68"/>
      <c r="AG26" s="68" t="s">
        <v>237</v>
      </c>
      <c r="AH26" s="15" t="s">
        <v>132</v>
      </c>
      <c r="AI26" s="131" t="s">
        <v>244</v>
      </c>
      <c r="AJ26" s="45"/>
      <c r="AK26" s="40"/>
      <c r="AV26" s="1052">
        <v>0.20833333333333334</v>
      </c>
    </row>
    <row r="27" spans="1:48" ht="69" customHeight="1">
      <c r="A27" s="20">
        <v>16</v>
      </c>
      <c r="B27" s="169"/>
      <c r="C27" s="69"/>
      <c r="D27" s="69"/>
      <c r="E27" s="66"/>
      <c r="F27" s="67"/>
      <c r="G27" s="253" t="s">
        <v>245</v>
      </c>
      <c r="H27" s="66" t="s">
        <v>125</v>
      </c>
      <c r="I27" s="66"/>
      <c r="J27" s="67" t="s">
        <v>136</v>
      </c>
      <c r="K27" s="110" t="s">
        <v>246</v>
      </c>
      <c r="L27" s="254" t="s">
        <v>247</v>
      </c>
      <c r="M27" s="606"/>
      <c r="N27" s="59">
        <v>0.16666666666666666</v>
      </c>
      <c r="O27" s="199">
        <f t="shared" si="1"/>
        <v>0.25</v>
      </c>
      <c r="P27" s="99">
        <f>N27+(Summary!$C$30)/24</f>
        <v>0.5625</v>
      </c>
      <c r="Q27" s="99" t="s">
        <v>129</v>
      </c>
      <c r="R27" s="100" t="s">
        <v>187</v>
      </c>
      <c r="S27" s="100" t="s">
        <v>188</v>
      </c>
      <c r="T27" s="1022" t="s">
        <v>189</v>
      </c>
      <c r="U27" s="170"/>
      <c r="V27" s="67"/>
      <c r="W27" s="67"/>
      <c r="X27" s="71"/>
      <c r="Y27" s="66"/>
      <c r="Z27" s="181"/>
      <c r="AA27" s="171"/>
      <c r="AB27" s="171"/>
      <c r="AC27" s="66"/>
      <c r="AD27" s="59">
        <v>0.1875</v>
      </c>
      <c r="AE27" s="59">
        <v>0.21875</v>
      </c>
      <c r="AF27" s="78"/>
      <c r="AG27" s="78" t="s">
        <v>245</v>
      </c>
      <c r="AH27" s="15" t="s">
        <v>132</v>
      </c>
      <c r="AI27" s="1056" t="s">
        <v>160</v>
      </c>
      <c r="AJ27" s="172"/>
      <c r="AL27" s="1047" t="s">
        <v>248</v>
      </c>
      <c r="AM27" s="705" t="s">
        <v>146</v>
      </c>
      <c r="AN27" s="706" t="s">
        <v>129</v>
      </c>
      <c r="AO27" s="706" t="s">
        <v>129</v>
      </c>
      <c r="AP27" s="706" t="s">
        <v>129</v>
      </c>
      <c r="AQ27" s="706" t="s">
        <v>129</v>
      </c>
      <c r="AR27" s="706" t="s">
        <v>129</v>
      </c>
      <c r="AS27" s="706" t="s">
        <v>129</v>
      </c>
      <c r="AV27" s="1052">
        <v>0.22569444444444445</v>
      </c>
    </row>
    <row r="28" spans="1:48" ht="62.25" customHeight="1">
      <c r="A28" s="20">
        <v>17</v>
      </c>
      <c r="B28" s="169"/>
      <c r="C28" s="69"/>
      <c r="D28" s="69"/>
      <c r="E28" s="66"/>
      <c r="F28" s="67"/>
      <c r="G28" s="253" t="s">
        <v>245</v>
      </c>
      <c r="H28" s="66" t="s">
        <v>125</v>
      </c>
      <c r="I28" s="66"/>
      <c r="J28" s="67" t="s">
        <v>136</v>
      </c>
      <c r="K28" s="110" t="s">
        <v>249</v>
      </c>
      <c r="L28" s="254" t="s">
        <v>250</v>
      </c>
      <c r="M28" s="606"/>
      <c r="N28" s="59">
        <v>0.16666666666666666</v>
      </c>
      <c r="O28" s="199">
        <f t="shared" si="1"/>
        <v>0.25</v>
      </c>
      <c r="P28" s="99">
        <f>N28+(Summary!$C$30)/24</f>
        <v>0.5625</v>
      </c>
      <c r="Q28" s="99" t="s">
        <v>129</v>
      </c>
      <c r="R28" s="100" t="s">
        <v>187</v>
      </c>
      <c r="S28" s="100" t="s">
        <v>188</v>
      </c>
      <c r="T28" s="1022" t="s">
        <v>189</v>
      </c>
      <c r="U28" s="170"/>
      <c r="V28" s="67"/>
      <c r="W28" s="67"/>
      <c r="X28" s="71"/>
      <c r="Y28" s="66"/>
      <c r="Z28" s="181"/>
      <c r="AA28" s="171"/>
      <c r="AB28" s="171"/>
      <c r="AC28" s="66"/>
      <c r="AD28" s="59">
        <v>0.1875</v>
      </c>
      <c r="AE28" s="59">
        <v>0.21875</v>
      </c>
      <c r="AF28" s="78"/>
      <c r="AG28" s="78" t="s">
        <v>245</v>
      </c>
      <c r="AH28" s="15" t="s">
        <v>132</v>
      </c>
      <c r="AI28" s="1056" t="s">
        <v>160</v>
      </c>
      <c r="AJ28" s="172"/>
      <c r="AL28" s="1047" t="s">
        <v>251</v>
      </c>
      <c r="AM28" s="705" t="s">
        <v>146</v>
      </c>
      <c r="AN28" s="706" t="s">
        <v>129</v>
      </c>
      <c r="AO28" s="706" t="s">
        <v>129</v>
      </c>
      <c r="AP28" s="706" t="s">
        <v>129</v>
      </c>
      <c r="AQ28" s="706" t="s">
        <v>129</v>
      </c>
      <c r="AR28" s="706" t="s">
        <v>129</v>
      </c>
      <c r="AS28" s="706" t="s">
        <v>129</v>
      </c>
      <c r="AV28" s="1052">
        <v>0.22569444444444445</v>
      </c>
    </row>
    <row r="29" spans="1:48" s="124" customFormat="1" ht="57.75" customHeight="1">
      <c r="A29" s="20">
        <v>18</v>
      </c>
      <c r="B29" s="169"/>
      <c r="C29" s="69"/>
      <c r="D29" s="69"/>
      <c r="E29" s="66"/>
      <c r="F29" s="67"/>
      <c r="G29" s="253" t="s">
        <v>245</v>
      </c>
      <c r="H29" s="66" t="s">
        <v>125</v>
      </c>
      <c r="I29" s="183"/>
      <c r="J29" s="184" t="s">
        <v>136</v>
      </c>
      <c r="K29" s="110" t="s">
        <v>252</v>
      </c>
      <c r="L29" s="254" t="s">
        <v>253</v>
      </c>
      <c r="M29" s="606"/>
      <c r="N29" s="59">
        <v>0.16666666666666666</v>
      </c>
      <c r="O29" s="199">
        <f t="shared" si="1"/>
        <v>0.25</v>
      </c>
      <c r="P29" s="99">
        <f>N29+(Summary!$C$30)/24</f>
        <v>0.5625</v>
      </c>
      <c r="Q29" s="99" t="s">
        <v>129</v>
      </c>
      <c r="R29" s="100" t="s">
        <v>187</v>
      </c>
      <c r="S29" s="100" t="s">
        <v>188</v>
      </c>
      <c r="T29" s="1022" t="s">
        <v>189</v>
      </c>
      <c r="U29" s="208"/>
      <c r="V29" s="184"/>
      <c r="W29" s="67"/>
      <c r="X29" s="211"/>
      <c r="Y29" s="183"/>
      <c r="Z29" s="213"/>
      <c r="AA29" s="214"/>
      <c r="AB29" s="214"/>
      <c r="AC29" s="183"/>
      <c r="AD29" s="59">
        <v>0.1875</v>
      </c>
      <c r="AE29" s="59">
        <v>0.21875</v>
      </c>
      <c r="AF29" s="78"/>
      <c r="AG29" s="78" t="s">
        <v>245</v>
      </c>
      <c r="AH29" s="15" t="s">
        <v>132</v>
      </c>
      <c r="AI29" s="1056" t="s">
        <v>160</v>
      </c>
      <c r="AJ29" s="172"/>
      <c r="AK29" s="40"/>
      <c r="AL29" s="1047" t="s">
        <v>254</v>
      </c>
      <c r="AM29" s="705" t="s">
        <v>146</v>
      </c>
      <c r="AN29" s="706" t="s">
        <v>129</v>
      </c>
      <c r="AO29" s="706" t="s">
        <v>129</v>
      </c>
      <c r="AP29" s="706" t="s">
        <v>129</v>
      </c>
      <c r="AQ29" s="706" t="s">
        <v>129</v>
      </c>
      <c r="AR29" s="706" t="s">
        <v>129</v>
      </c>
      <c r="AS29" s="706" t="s">
        <v>129</v>
      </c>
      <c r="AV29" s="1052">
        <v>0.22569444444444445</v>
      </c>
    </row>
    <row r="30" spans="1:48" s="124" customFormat="1" ht="59.25" customHeight="1">
      <c r="A30" s="20">
        <v>18</v>
      </c>
      <c r="B30" s="169"/>
      <c r="C30" s="69"/>
      <c r="D30" s="69"/>
      <c r="E30" s="66"/>
      <c r="F30" s="67"/>
      <c r="G30" s="253" t="s">
        <v>245</v>
      </c>
      <c r="H30" s="66" t="s">
        <v>125</v>
      </c>
      <c r="I30" s="183"/>
      <c r="J30" s="184" t="s">
        <v>136</v>
      </c>
      <c r="K30" s="110" t="s">
        <v>255</v>
      </c>
      <c r="L30" s="254" t="s">
        <v>256</v>
      </c>
      <c r="M30" s="606"/>
      <c r="N30" s="59">
        <v>0.16666666666666666</v>
      </c>
      <c r="O30" s="199">
        <f t="shared" si="1"/>
        <v>0.25</v>
      </c>
      <c r="P30" s="99">
        <f>N30+(Summary!$C$30)/24</f>
        <v>0.5625</v>
      </c>
      <c r="Q30" s="99" t="s">
        <v>129</v>
      </c>
      <c r="R30" s="100" t="s">
        <v>187</v>
      </c>
      <c r="S30" s="100" t="s">
        <v>188</v>
      </c>
      <c r="T30" s="1022" t="s">
        <v>189</v>
      </c>
      <c r="U30" s="208"/>
      <c r="V30" s="184"/>
      <c r="W30" s="67"/>
      <c r="X30" s="211"/>
      <c r="Y30" s="183"/>
      <c r="Z30" s="213"/>
      <c r="AA30" s="214"/>
      <c r="AB30" s="214"/>
      <c r="AC30" s="183"/>
      <c r="AD30" s="59">
        <v>0.1875</v>
      </c>
      <c r="AE30" s="59">
        <v>0.21875</v>
      </c>
      <c r="AF30" s="78"/>
      <c r="AG30" s="78" t="s">
        <v>245</v>
      </c>
      <c r="AH30" s="15" t="s">
        <v>132</v>
      </c>
      <c r="AI30" s="1056" t="s">
        <v>160</v>
      </c>
      <c r="AJ30" s="172"/>
      <c r="AK30" s="40"/>
      <c r="AL30" s="1047" t="s">
        <v>257</v>
      </c>
      <c r="AM30" s="705" t="s">
        <v>146</v>
      </c>
      <c r="AN30" s="706" t="s">
        <v>129</v>
      </c>
      <c r="AO30" s="706" t="s">
        <v>129</v>
      </c>
      <c r="AP30" s="706" t="s">
        <v>129</v>
      </c>
      <c r="AQ30" s="706" t="s">
        <v>129</v>
      </c>
      <c r="AR30" s="706" t="s">
        <v>129</v>
      </c>
      <c r="AS30" s="706" t="s">
        <v>129</v>
      </c>
      <c r="AV30" s="1052">
        <v>0.22569444444444445</v>
      </c>
    </row>
    <row r="31" spans="1:48" s="55" customFormat="1" ht="38.25" customHeight="1">
      <c r="A31" s="266">
        <v>19</v>
      </c>
      <c r="B31" s="267" t="s">
        <v>258</v>
      </c>
      <c r="C31" s="268" t="s">
        <v>122</v>
      </c>
      <c r="D31" s="268"/>
      <c r="E31" s="269" t="s">
        <v>122</v>
      </c>
      <c r="F31" s="270" t="s">
        <v>24</v>
      </c>
      <c r="G31" s="268"/>
      <c r="H31" s="269" t="s">
        <v>125</v>
      </c>
      <c r="I31" s="269"/>
      <c r="J31" s="271" t="s">
        <v>259</v>
      </c>
      <c r="K31" s="272" t="s">
        <v>166</v>
      </c>
      <c r="L31" s="273" t="s">
        <v>260</v>
      </c>
      <c r="M31" s="608"/>
      <c r="N31" s="623">
        <v>0.20833333333333334</v>
      </c>
      <c r="O31" s="601"/>
      <c r="P31" s="275">
        <f>N31+(Summary!$C$30)/24</f>
        <v>0.60416666666666663</v>
      </c>
      <c r="Q31" s="275" t="s">
        <v>129</v>
      </c>
      <c r="R31" s="274"/>
      <c r="S31" s="274"/>
      <c r="T31" s="276" t="s">
        <v>151</v>
      </c>
      <c r="U31" s="277"/>
      <c r="V31" s="270"/>
      <c r="W31" s="270"/>
      <c r="X31" s="278"/>
      <c r="Y31" s="269"/>
      <c r="Z31" s="279"/>
      <c r="AA31" s="269"/>
      <c r="AB31" s="126"/>
      <c r="AC31" s="126"/>
      <c r="AD31" s="280">
        <v>0.1875</v>
      </c>
      <c r="AE31" s="280"/>
      <c r="AF31" s="281"/>
      <c r="AG31" s="281"/>
      <c r="AH31" s="282" t="s">
        <v>261</v>
      </c>
      <c r="AI31" s="283" t="s">
        <v>228</v>
      </c>
      <c r="AJ31" s="284"/>
      <c r="AK31" s="285"/>
      <c r="AV31" s="1052">
        <v>0</v>
      </c>
    </row>
    <row r="32" spans="1:48" s="1095" customFormat="1" ht="70.5" customHeight="1">
      <c r="A32" s="1066"/>
      <c r="B32" s="1067"/>
      <c r="C32" s="1068" t="s">
        <v>122</v>
      </c>
      <c r="D32" s="1068"/>
      <c r="E32" s="1069" t="s">
        <v>122</v>
      </c>
      <c r="F32" s="1070" t="s">
        <v>24</v>
      </c>
      <c r="G32" s="1069" t="s">
        <v>262</v>
      </c>
      <c r="H32" s="1069" t="s">
        <v>125</v>
      </c>
      <c r="I32" s="1069"/>
      <c r="J32" s="1071" t="s">
        <v>263</v>
      </c>
      <c r="K32" s="1072" t="s">
        <v>166</v>
      </c>
      <c r="L32" s="1073"/>
      <c r="M32" s="1074"/>
      <c r="N32" s="1075">
        <v>0.21875</v>
      </c>
      <c r="O32" s="1076"/>
      <c r="P32" s="1077"/>
      <c r="Q32" s="1077"/>
      <c r="R32" s="1078"/>
      <c r="S32" s="1073"/>
      <c r="T32" s="1079" t="s">
        <v>151</v>
      </c>
      <c r="U32" s="1080"/>
      <c r="V32" s="1081"/>
      <c r="W32" s="1081"/>
      <c r="X32" s="1082"/>
      <c r="Y32" s="1083"/>
      <c r="Z32" s="1084"/>
      <c r="AA32" s="1085"/>
      <c r="AB32" s="1085"/>
      <c r="AC32" s="1086"/>
      <c r="AD32" s="1087"/>
      <c r="AE32" s="1088"/>
      <c r="AF32" s="1089"/>
      <c r="AG32" s="1089"/>
      <c r="AH32" s="1090"/>
      <c r="AI32" s="1091"/>
      <c r="AJ32" s="1092"/>
      <c r="AK32" s="1093"/>
      <c r="AL32" s="1094"/>
      <c r="AM32" s="1094" t="s">
        <v>171</v>
      </c>
      <c r="AN32" s="1094" t="s">
        <v>129</v>
      </c>
      <c r="AO32" s="1094" t="s">
        <v>129</v>
      </c>
      <c r="AP32" s="1094" t="s">
        <v>129</v>
      </c>
      <c r="AQ32" s="1094" t="s">
        <v>129</v>
      </c>
      <c r="AR32" s="1094" t="s">
        <v>129</v>
      </c>
      <c r="AS32" s="1094" t="s">
        <v>129</v>
      </c>
      <c r="AV32" s="1096"/>
    </row>
    <row r="33" spans="1:48" s="1095" customFormat="1" ht="70.5" customHeight="1">
      <c r="A33" s="1066"/>
      <c r="B33" s="1067"/>
      <c r="C33" s="1068" t="s">
        <v>122</v>
      </c>
      <c r="D33" s="1068"/>
      <c r="E33" s="1069" t="s">
        <v>122</v>
      </c>
      <c r="F33" s="1070" t="s">
        <v>24</v>
      </c>
      <c r="G33" s="1069" t="s">
        <v>264</v>
      </c>
      <c r="H33" s="1069" t="s">
        <v>125</v>
      </c>
      <c r="I33" s="1069"/>
      <c r="J33" s="1071" t="s">
        <v>265</v>
      </c>
      <c r="K33" s="1072" t="s">
        <v>166</v>
      </c>
      <c r="L33" s="1073"/>
      <c r="M33" s="1074"/>
      <c r="N33" s="1075">
        <v>0.21875</v>
      </c>
      <c r="O33" s="1076"/>
      <c r="P33" s="1077"/>
      <c r="Q33" s="1077"/>
      <c r="R33" s="1078"/>
      <c r="S33" s="1073"/>
      <c r="T33" s="1079" t="s">
        <v>115</v>
      </c>
      <c r="U33" s="1080"/>
      <c r="V33" s="1081"/>
      <c r="W33" s="1081"/>
      <c r="X33" s="1082"/>
      <c r="Y33" s="1083"/>
      <c r="Z33" s="1084"/>
      <c r="AA33" s="1085"/>
      <c r="AB33" s="1085"/>
      <c r="AC33" s="1086"/>
      <c r="AD33" s="1087"/>
      <c r="AE33" s="1088"/>
      <c r="AF33" s="1089"/>
      <c r="AG33" s="1089"/>
      <c r="AH33" s="1090"/>
      <c r="AI33" s="1091"/>
      <c r="AJ33" s="1092"/>
      <c r="AK33" s="1093"/>
      <c r="AL33" s="1094"/>
      <c r="AM33" s="1094" t="s">
        <v>171</v>
      </c>
      <c r="AN33" s="1094" t="s">
        <v>129</v>
      </c>
      <c r="AO33" s="1094" t="s">
        <v>129</v>
      </c>
      <c r="AP33" s="1094" t="s">
        <v>129</v>
      </c>
      <c r="AQ33" s="1094" t="s">
        <v>129</v>
      </c>
      <c r="AR33" s="1094" t="s">
        <v>129</v>
      </c>
      <c r="AS33" s="1094" t="s">
        <v>129</v>
      </c>
      <c r="AV33" s="1096"/>
    </row>
    <row r="34" spans="1:48" s="55" customFormat="1" ht="40.5" customHeight="1">
      <c r="A34" s="20">
        <v>20</v>
      </c>
      <c r="B34" s="173"/>
      <c r="C34" s="29"/>
      <c r="D34" s="29"/>
      <c r="E34" s="30"/>
      <c r="F34" s="37"/>
      <c r="G34" s="995" t="s">
        <v>266</v>
      </c>
      <c r="H34" s="66" t="s">
        <v>125</v>
      </c>
      <c r="I34" s="220"/>
      <c r="J34" s="37" t="s">
        <v>136</v>
      </c>
      <c r="K34" s="204" t="s">
        <v>267</v>
      </c>
      <c r="L34" s="65" t="s">
        <v>268</v>
      </c>
      <c r="M34" s="606"/>
      <c r="N34" s="59">
        <v>0.25</v>
      </c>
      <c r="O34" s="199">
        <f>N34 + TIME(2, 0, 0)</f>
        <v>0.33333333333333331</v>
      </c>
      <c r="P34" s="99">
        <f>N34+(Summary!$C$30)/24</f>
        <v>0.64583333333333326</v>
      </c>
      <c r="Q34" s="99" t="s">
        <v>129</v>
      </c>
      <c r="R34" s="100" t="s">
        <v>213</v>
      </c>
      <c r="S34" s="65" t="s">
        <v>214</v>
      </c>
      <c r="T34" s="102" t="s">
        <v>121</v>
      </c>
      <c r="U34" s="186"/>
      <c r="V34" s="37"/>
      <c r="W34" s="37"/>
      <c r="X34" s="39"/>
      <c r="Y34" s="36"/>
      <c r="Z34" s="180"/>
      <c r="AA34" s="188"/>
      <c r="AB34" s="188"/>
      <c r="AC34" s="30"/>
      <c r="AD34" s="59">
        <v>0.27083333333333331</v>
      </c>
      <c r="AE34" s="286">
        <v>0.29166666666666669</v>
      </c>
      <c r="AF34" s="38"/>
      <c r="AG34" s="38"/>
      <c r="AH34" s="15" t="s">
        <v>132</v>
      </c>
      <c r="AI34" s="165" t="s">
        <v>60</v>
      </c>
      <c r="AJ34" s="172"/>
      <c r="AK34" s="40"/>
      <c r="AL34" s="706" t="s">
        <v>269</v>
      </c>
      <c r="AM34" s="706" t="s">
        <v>146</v>
      </c>
      <c r="AN34" s="706" t="s">
        <v>178</v>
      </c>
      <c r="AU34" s="88" t="s">
        <v>178</v>
      </c>
      <c r="AV34" s="1052">
        <v>0.2986111111111111</v>
      </c>
    </row>
    <row r="35" spans="1:48" s="55" customFormat="1" ht="70.5" customHeight="1">
      <c r="A35" s="20">
        <v>39</v>
      </c>
      <c r="B35" s="173"/>
      <c r="C35" s="65" t="s">
        <v>122</v>
      </c>
      <c r="D35" s="65"/>
      <c r="E35" s="65" t="s">
        <v>122</v>
      </c>
      <c r="F35" s="37"/>
      <c r="G35" s="246" t="s">
        <v>270</v>
      </c>
      <c r="H35" s="66" t="s">
        <v>125</v>
      </c>
      <c r="I35" s="220"/>
      <c r="J35" s="37" t="s">
        <v>136</v>
      </c>
      <c r="K35" s="204" t="s">
        <v>271</v>
      </c>
      <c r="L35" s="65" t="s">
        <v>272</v>
      </c>
      <c r="M35" s="606"/>
      <c r="N35" s="59">
        <v>0.47916666666666669</v>
      </c>
      <c r="O35" s="199">
        <f>N35 + TIME(2, 0, 0)</f>
        <v>0.5625</v>
      </c>
      <c r="P35" s="99"/>
      <c r="Q35" s="99"/>
      <c r="R35" s="100"/>
      <c r="S35" s="65"/>
      <c r="T35" s="103" t="s">
        <v>130</v>
      </c>
      <c r="U35" s="186" t="s">
        <v>273</v>
      </c>
      <c r="V35" s="37"/>
      <c r="W35" s="37"/>
      <c r="X35" s="39"/>
      <c r="Y35" s="36"/>
      <c r="Z35" s="180"/>
      <c r="AA35" s="188"/>
      <c r="AB35" s="188"/>
      <c r="AC35" s="30"/>
      <c r="AD35" s="245">
        <v>0.5</v>
      </c>
      <c r="AE35" s="286">
        <v>0.51041666666666663</v>
      </c>
      <c r="AF35" s="38"/>
      <c r="AG35" s="38" t="s">
        <v>270</v>
      </c>
      <c r="AH35" s="15"/>
      <c r="AI35" s="165" t="s">
        <v>274</v>
      </c>
      <c r="AJ35" s="172"/>
      <c r="AK35" s="40"/>
      <c r="AV35" s="1052">
        <v>0.51041666666666663</v>
      </c>
    </row>
    <row r="36" spans="1:48" s="534" customFormat="1" ht="70.5" customHeight="1">
      <c r="A36" s="506">
        <v>39.1</v>
      </c>
      <c r="B36" s="515">
        <v>39</v>
      </c>
      <c r="C36" s="516" t="s">
        <v>122</v>
      </c>
      <c r="D36" s="516"/>
      <c r="E36" s="517" t="s">
        <v>122</v>
      </c>
      <c r="F36" s="518" t="s">
        <v>24</v>
      </c>
      <c r="G36" s="516"/>
      <c r="H36" s="517" t="s">
        <v>125</v>
      </c>
      <c r="I36" s="517"/>
      <c r="J36" s="519" t="s">
        <v>275</v>
      </c>
      <c r="K36" s="520" t="s">
        <v>166</v>
      </c>
      <c r="L36" s="511" t="s">
        <v>276</v>
      </c>
      <c r="M36" s="609"/>
      <c r="N36" s="624">
        <v>0.47916666666666669</v>
      </c>
      <c r="O36" s="508"/>
      <c r="P36" s="509"/>
      <c r="Q36" s="509"/>
      <c r="R36" s="510"/>
      <c r="S36" s="511"/>
      <c r="T36" s="521" t="s">
        <v>130</v>
      </c>
      <c r="U36" s="522" t="s">
        <v>273</v>
      </c>
      <c r="V36" s="523"/>
      <c r="W36" s="523"/>
      <c r="X36" s="524"/>
      <c r="Y36" s="525"/>
      <c r="Z36" s="526"/>
      <c r="AA36" s="527"/>
      <c r="AB36" s="527"/>
      <c r="AC36" s="528"/>
      <c r="AD36" s="529">
        <v>0.5</v>
      </c>
      <c r="AE36" s="711">
        <v>0.51041666666666663</v>
      </c>
      <c r="AF36" s="530"/>
      <c r="AG36" s="530" t="s">
        <v>270</v>
      </c>
      <c r="AH36" s="507"/>
      <c r="AI36" s="531" t="s">
        <v>274</v>
      </c>
      <c r="AJ36" s="532"/>
      <c r="AK36" s="533"/>
      <c r="AL36" s="690" t="s">
        <v>277</v>
      </c>
      <c r="AM36" s="690" t="s">
        <v>171</v>
      </c>
      <c r="AN36" s="690" t="s">
        <v>178</v>
      </c>
      <c r="AO36" s="1048" t="s">
        <v>178</v>
      </c>
      <c r="AP36" s="1048" t="s">
        <v>178</v>
      </c>
      <c r="AQ36" s="1048" t="s">
        <v>178</v>
      </c>
      <c r="AR36" s="1048" t="s">
        <v>178</v>
      </c>
      <c r="AS36" s="1048" t="s">
        <v>178</v>
      </c>
      <c r="AV36" s="1052">
        <v>0.51736111111111105</v>
      </c>
    </row>
    <row r="37" spans="1:48" s="88" customFormat="1" ht="51" customHeight="1">
      <c r="A37" s="20">
        <v>21</v>
      </c>
      <c r="B37" s="93"/>
      <c r="C37" s="65" t="s">
        <v>122</v>
      </c>
      <c r="D37" s="65"/>
      <c r="E37" s="65" t="s">
        <v>122</v>
      </c>
      <c r="F37" s="68"/>
      <c r="G37" s="254" t="s">
        <v>278</v>
      </c>
      <c r="H37" s="65" t="s">
        <v>125</v>
      </c>
      <c r="I37" s="65"/>
      <c r="J37" s="65" t="s">
        <v>136</v>
      </c>
      <c r="K37" s="76" t="s">
        <v>238</v>
      </c>
      <c r="L37" s="192" t="s">
        <v>279</v>
      </c>
      <c r="M37" s="610"/>
      <c r="N37" s="59">
        <v>0.625</v>
      </c>
      <c r="O37" s="199">
        <f>N37 + TIME(2, 0, 0)</f>
        <v>0.70833333333333337</v>
      </c>
      <c r="P37" s="99">
        <f>N37+(Summary!$C$30)/24</f>
        <v>1.0208333333333333</v>
      </c>
      <c r="Q37" s="99" t="s">
        <v>178</v>
      </c>
      <c r="R37" s="100" t="s">
        <v>240</v>
      </c>
      <c r="S37" s="65" t="s">
        <v>241</v>
      </c>
      <c r="T37" s="103" t="s">
        <v>130</v>
      </c>
      <c r="U37" s="65"/>
      <c r="V37" s="65"/>
      <c r="W37" s="68"/>
      <c r="X37" s="65"/>
      <c r="Y37" s="76"/>
      <c r="Z37" s="65" t="s">
        <v>280</v>
      </c>
      <c r="AA37" s="77"/>
      <c r="AB37" s="77" t="s">
        <v>131</v>
      </c>
      <c r="AC37" s="76"/>
      <c r="AD37" s="99">
        <v>0.64583333333333337</v>
      </c>
      <c r="AE37" s="749">
        <v>0.66666666666666663</v>
      </c>
      <c r="AF37" s="77"/>
      <c r="AG37" s="65" t="s">
        <v>278</v>
      </c>
      <c r="AH37" s="15" t="s">
        <v>132</v>
      </c>
      <c r="AI37" s="131" t="s">
        <v>244</v>
      </c>
      <c r="AJ37" s="45" t="s">
        <v>281</v>
      </c>
      <c r="AK37" s="40"/>
      <c r="AV37" s="1052">
        <v>0.66666666666666663</v>
      </c>
    </row>
    <row r="38" spans="1:48" s="88" customFormat="1" ht="178.5">
      <c r="A38" s="20">
        <v>22</v>
      </c>
      <c r="B38" s="94"/>
      <c r="C38" s="80"/>
      <c r="D38" s="80"/>
      <c r="E38" s="80"/>
      <c r="F38" s="89" t="s">
        <v>24</v>
      </c>
      <c r="G38" s="254" t="s">
        <v>282</v>
      </c>
      <c r="H38" s="64" t="s">
        <v>125</v>
      </c>
      <c r="I38" s="64"/>
      <c r="J38" s="82" t="s">
        <v>126</v>
      </c>
      <c r="K38" s="196" t="s">
        <v>283</v>
      </c>
      <c r="L38" s="193" t="s">
        <v>284</v>
      </c>
      <c r="M38" s="611"/>
      <c r="N38" s="60">
        <v>0.66666666666666663</v>
      </c>
      <c r="O38" s="199"/>
      <c r="P38" s="99">
        <f>N38+(Summary!$C$30)/24</f>
        <v>1.0625</v>
      </c>
      <c r="Q38" s="99" t="s">
        <v>178</v>
      </c>
      <c r="R38" s="100" t="s">
        <v>138</v>
      </c>
      <c r="S38" s="65" t="s">
        <v>285</v>
      </c>
      <c r="T38" s="104" t="s">
        <v>130</v>
      </c>
      <c r="U38" s="83"/>
      <c r="V38" s="64"/>
      <c r="W38" s="81"/>
      <c r="X38" s="64"/>
      <c r="Y38" s="84"/>
      <c r="Z38" s="64" t="s">
        <v>286</v>
      </c>
      <c r="AA38" s="77" t="s">
        <v>287</v>
      </c>
      <c r="AB38" s="77" t="s">
        <v>131</v>
      </c>
      <c r="AC38" s="752"/>
      <c r="AD38" s="750">
        <v>0.71875</v>
      </c>
      <c r="AE38" s="750"/>
      <c r="AF38" s="603"/>
      <c r="AG38" s="80"/>
      <c r="AH38" s="15" t="s">
        <v>132</v>
      </c>
      <c r="AI38" s="130" t="s">
        <v>133</v>
      </c>
      <c r="AJ38" s="86"/>
      <c r="AK38" s="87"/>
      <c r="AV38" s="1052">
        <v>0</v>
      </c>
    </row>
    <row r="39" spans="1:48" s="88" customFormat="1" ht="38.25" customHeight="1">
      <c r="A39" s="20">
        <v>23</v>
      </c>
      <c r="B39" s="94">
        <v>22</v>
      </c>
      <c r="C39" s="80" t="s">
        <v>288</v>
      </c>
      <c r="D39" s="80"/>
      <c r="E39" s="80" t="s">
        <v>289</v>
      </c>
      <c r="F39" s="89" t="s">
        <v>24</v>
      </c>
      <c r="G39" s="79" t="s">
        <v>290</v>
      </c>
      <c r="H39" s="64" t="s">
        <v>125</v>
      </c>
      <c r="I39" s="64"/>
      <c r="J39" s="82" t="s">
        <v>136</v>
      </c>
      <c r="K39" s="196" t="s">
        <v>291</v>
      </c>
      <c r="L39" s="193" t="s">
        <v>284</v>
      </c>
      <c r="M39" s="611"/>
      <c r="N39" s="60">
        <v>0.70833333333333337</v>
      </c>
      <c r="O39" s="199"/>
      <c r="P39" s="99">
        <f>N39+(Summary!$C$30)/24</f>
        <v>1.1041666666666667</v>
      </c>
      <c r="Q39" s="99" t="s">
        <v>178</v>
      </c>
      <c r="R39" s="100"/>
      <c r="S39" s="65"/>
      <c r="T39" s="104" t="s">
        <v>130</v>
      </c>
      <c r="U39" s="83"/>
      <c r="V39" s="177" t="s">
        <v>292</v>
      </c>
      <c r="W39" s="81" t="s">
        <v>293</v>
      </c>
      <c r="X39" s="64"/>
      <c r="Y39" s="84"/>
      <c r="Z39" s="64" t="s">
        <v>294</v>
      </c>
      <c r="AA39" s="77" t="s">
        <v>295</v>
      </c>
      <c r="AB39" s="77" t="s">
        <v>131</v>
      </c>
      <c r="AC39" s="752"/>
      <c r="AD39" s="750">
        <v>0.71875</v>
      </c>
      <c r="AE39" s="750">
        <v>0.72916666666666663</v>
      </c>
      <c r="AF39" s="603"/>
      <c r="AG39" s="81" t="s">
        <v>289</v>
      </c>
      <c r="AH39" s="15" t="s">
        <v>132</v>
      </c>
      <c r="AI39" s="130" t="s">
        <v>133</v>
      </c>
      <c r="AJ39" s="86"/>
      <c r="AK39" s="87"/>
      <c r="AV39" s="1052">
        <v>0.72916666666666663</v>
      </c>
    </row>
    <row r="40" spans="1:48" s="486" customFormat="1" ht="38.25" customHeight="1">
      <c r="A40" s="469">
        <v>24</v>
      </c>
      <c r="B40" s="470">
        <v>23</v>
      </c>
      <c r="C40" s="471" t="s">
        <v>288</v>
      </c>
      <c r="D40" s="471"/>
      <c r="E40" s="472" t="s">
        <v>289</v>
      </c>
      <c r="F40" s="473" t="s">
        <v>24</v>
      </c>
      <c r="G40" s="471"/>
      <c r="H40" s="471" t="s">
        <v>125</v>
      </c>
      <c r="I40" s="471"/>
      <c r="J40" s="474" t="s">
        <v>296</v>
      </c>
      <c r="K40" s="475" t="s">
        <v>297</v>
      </c>
      <c r="L40" s="634" t="s">
        <v>298</v>
      </c>
      <c r="M40" s="612"/>
      <c r="N40" s="625">
        <v>0.70833333333333337</v>
      </c>
      <c r="O40" s="602"/>
      <c r="P40" s="478">
        <f>N40+(Summary!$C$30)/24</f>
        <v>1.1041666666666667</v>
      </c>
      <c r="Q40" s="478" t="s">
        <v>178</v>
      </c>
      <c r="R40" s="477"/>
      <c r="S40" s="477"/>
      <c r="T40" s="479" t="s">
        <v>130</v>
      </c>
      <c r="U40" s="477"/>
      <c r="V40" s="471"/>
      <c r="W40" s="473"/>
      <c r="X40" s="471"/>
      <c r="Y40" s="480"/>
      <c r="Z40" s="471"/>
      <c r="AA40" s="481"/>
      <c r="AB40" s="481" t="s">
        <v>131</v>
      </c>
      <c r="AC40" s="753"/>
      <c r="AD40" s="751">
        <v>0.71875</v>
      </c>
      <c r="AE40" s="750">
        <v>0.72916666666666663</v>
      </c>
      <c r="AF40" s="754"/>
      <c r="AG40" s="473" t="s">
        <v>289</v>
      </c>
      <c r="AH40" s="482" t="s">
        <v>132</v>
      </c>
      <c r="AI40" s="130" t="s">
        <v>133</v>
      </c>
      <c r="AJ40" s="484" t="s">
        <v>299</v>
      </c>
      <c r="AK40" s="485"/>
      <c r="AL40" s="691" t="s">
        <v>300</v>
      </c>
      <c r="AM40" s="707" t="s">
        <v>171</v>
      </c>
      <c r="AN40" s="692" t="s">
        <v>178</v>
      </c>
      <c r="AO40" s="692" t="s">
        <v>178</v>
      </c>
      <c r="AP40" s="692" t="s">
        <v>178</v>
      </c>
      <c r="AQ40" s="692" t="s">
        <v>178</v>
      </c>
      <c r="AR40" s="692" t="s">
        <v>178</v>
      </c>
      <c r="AS40" s="692" t="s">
        <v>178</v>
      </c>
      <c r="AV40" s="1052">
        <v>0.73611111111111105</v>
      </c>
    </row>
    <row r="41" spans="1:48" s="88" customFormat="1" ht="105">
      <c r="A41" s="20">
        <v>25</v>
      </c>
      <c r="B41" s="95"/>
      <c r="C41" s="33" t="s">
        <v>122</v>
      </c>
      <c r="D41" s="33" t="s">
        <v>301</v>
      </c>
      <c r="E41" s="33" t="s">
        <v>122</v>
      </c>
      <c r="F41" s="201" t="s">
        <v>24</v>
      </c>
      <c r="G41" s="186" t="s">
        <v>302</v>
      </c>
      <c r="H41" s="65" t="s">
        <v>125</v>
      </c>
      <c r="I41" s="65"/>
      <c r="J41" s="63" t="s">
        <v>136</v>
      </c>
      <c r="K41" s="110" t="s">
        <v>61</v>
      </c>
      <c r="L41" s="65" t="s">
        <v>303</v>
      </c>
      <c r="M41" s="613"/>
      <c r="N41" s="59">
        <v>0.75</v>
      </c>
      <c r="O41" s="199">
        <f>N41 + TIME(2, 0, 0)</f>
        <v>0.83333333333333337</v>
      </c>
      <c r="P41" s="99">
        <f>N41+(Summary!$C$30)/24</f>
        <v>1.1458333333333333</v>
      </c>
      <c r="Q41" s="99" t="s">
        <v>178</v>
      </c>
      <c r="R41" s="100" t="s">
        <v>213</v>
      </c>
      <c r="S41" s="65" t="s">
        <v>214</v>
      </c>
      <c r="T41" s="102" t="s">
        <v>130</v>
      </c>
      <c r="U41" s="189" t="s">
        <v>304</v>
      </c>
      <c r="V41" s="65"/>
      <c r="W41" s="68"/>
      <c r="X41" s="65"/>
      <c r="Y41" s="76"/>
      <c r="Z41" s="65"/>
      <c r="AA41" s="77"/>
      <c r="AB41" s="77" t="s">
        <v>131</v>
      </c>
      <c r="AC41" s="63"/>
      <c r="AD41" s="712">
        <v>0.79166666666666663</v>
      </c>
      <c r="AE41" s="755">
        <v>0.8125</v>
      </c>
      <c r="AF41" s="33"/>
      <c r="AG41" s="68" t="s">
        <v>302</v>
      </c>
      <c r="AH41" s="15" t="s">
        <v>132</v>
      </c>
      <c r="AI41" s="131" t="s">
        <v>62</v>
      </c>
      <c r="AJ41" s="1154" t="s">
        <v>305</v>
      </c>
      <c r="AK41" s="40"/>
      <c r="AL41" s="698" t="s">
        <v>306</v>
      </c>
      <c r="AM41" s="706" t="s">
        <v>146</v>
      </c>
      <c r="AN41" s="706" t="s">
        <v>178</v>
      </c>
      <c r="AO41" s="706" t="s">
        <v>178</v>
      </c>
      <c r="AP41" s="706" t="s">
        <v>178</v>
      </c>
      <c r="AQ41" s="706" t="s">
        <v>178</v>
      </c>
      <c r="AR41" s="706" t="s">
        <v>178</v>
      </c>
      <c r="AS41" s="706" t="s">
        <v>178</v>
      </c>
      <c r="AT41" s="706"/>
      <c r="AV41" s="1052">
        <v>0.81944444444444442</v>
      </c>
    </row>
    <row r="42" spans="1:48" s="992" customFormat="1" ht="51.75" customHeight="1">
      <c r="A42" s="971">
        <v>26</v>
      </c>
      <c r="B42" s="972"/>
      <c r="C42" s="973"/>
      <c r="D42" s="973"/>
      <c r="E42" s="974"/>
      <c r="F42" s="975"/>
      <c r="G42" s="973" t="s">
        <v>307</v>
      </c>
      <c r="H42" s="974" t="s">
        <v>125</v>
      </c>
      <c r="I42" s="974"/>
      <c r="J42" s="975" t="s">
        <v>136</v>
      </c>
      <c r="K42" s="976" t="s">
        <v>308</v>
      </c>
      <c r="L42" s="977" t="s">
        <v>309</v>
      </c>
      <c r="M42" s="978"/>
      <c r="N42" s="979">
        <v>0.75</v>
      </c>
      <c r="O42" s="980">
        <f>N42 + TIME(2, 0, 0)</f>
        <v>0.83333333333333337</v>
      </c>
      <c r="P42" s="981">
        <f>N42+(Summary!$C$30)/24</f>
        <v>1.1458333333333333</v>
      </c>
      <c r="Q42" s="981" t="s">
        <v>178</v>
      </c>
      <c r="R42" s="982" t="s">
        <v>213</v>
      </c>
      <c r="S42" s="977" t="s">
        <v>310</v>
      </c>
      <c r="T42" s="983" t="s">
        <v>130</v>
      </c>
      <c r="U42" s="984" t="s">
        <v>304</v>
      </c>
      <c r="V42" s="975"/>
      <c r="W42" s="256"/>
      <c r="X42" s="260"/>
      <c r="Y42" s="261"/>
      <c r="Z42" s="262" t="s">
        <v>311</v>
      </c>
      <c r="AA42" s="263"/>
      <c r="AB42" s="263" t="s">
        <v>131</v>
      </c>
      <c r="AC42" s="974"/>
      <c r="AD42" s="985">
        <v>0.79166666666666663</v>
      </c>
      <c r="AE42" s="986">
        <v>0.8125</v>
      </c>
      <c r="AF42" s="987"/>
      <c r="AG42" s="987" t="s">
        <v>307</v>
      </c>
      <c r="AH42" s="988" t="s">
        <v>132</v>
      </c>
      <c r="AI42" s="989" t="s">
        <v>64</v>
      </c>
      <c r="AJ42" s="990"/>
      <c r="AK42" s="991"/>
      <c r="AL42" s="1010" t="s">
        <v>312</v>
      </c>
      <c r="AM42" s="1010" t="s">
        <v>146</v>
      </c>
      <c r="AN42" s="1010" t="s">
        <v>178</v>
      </c>
      <c r="AO42" s="1049" t="s">
        <v>178</v>
      </c>
      <c r="AP42" s="1049" t="s">
        <v>178</v>
      </c>
      <c r="AQ42" s="1049" t="s">
        <v>178</v>
      </c>
      <c r="AR42" s="1049" t="s">
        <v>178</v>
      </c>
      <c r="AS42" s="1049" t="s">
        <v>178</v>
      </c>
      <c r="AV42" s="1052">
        <v>0.81944444444444442</v>
      </c>
    </row>
    <row r="43" spans="1:48" s="88" customFormat="1" ht="34.5" customHeight="1">
      <c r="A43" s="20">
        <v>27</v>
      </c>
      <c r="B43" s="173"/>
      <c r="C43" s="29"/>
      <c r="D43" s="29"/>
      <c r="E43" s="30"/>
      <c r="F43" s="37"/>
      <c r="G43" s="29" t="s">
        <v>313</v>
      </c>
      <c r="H43" s="30" t="s">
        <v>125</v>
      </c>
      <c r="I43" s="30"/>
      <c r="J43" s="37" t="s">
        <v>136</v>
      </c>
      <c r="K43" s="110" t="s">
        <v>314</v>
      </c>
      <c r="L43" s="65" t="s">
        <v>315</v>
      </c>
      <c r="M43" s="606"/>
      <c r="N43" s="59">
        <v>0.75</v>
      </c>
      <c r="O43" s="199">
        <f>N43 + TIME(2, 0, 0)</f>
        <v>0.83333333333333337</v>
      </c>
      <c r="P43" s="99">
        <f>N43+(Summary!$C$30)/24</f>
        <v>1.1458333333333333</v>
      </c>
      <c r="Q43" s="99" t="s">
        <v>178</v>
      </c>
      <c r="R43" s="100" t="s">
        <v>213</v>
      </c>
      <c r="S43" s="65" t="s">
        <v>214</v>
      </c>
      <c r="T43" s="102" t="s">
        <v>130</v>
      </c>
      <c r="U43" s="48" t="s">
        <v>316</v>
      </c>
      <c r="V43" s="37"/>
      <c r="W43" s="37"/>
      <c r="X43" s="39"/>
      <c r="Y43" s="36"/>
      <c r="Z43" s="180" t="s">
        <v>317</v>
      </c>
      <c r="AA43" s="77"/>
      <c r="AB43" s="77" t="s">
        <v>131</v>
      </c>
      <c r="AC43" s="30"/>
      <c r="AD43" s="217">
        <v>0.77083333333333337</v>
      </c>
      <c r="AE43" s="712">
        <v>0.78125</v>
      </c>
      <c r="AF43" s="38"/>
      <c r="AG43" s="38" t="s">
        <v>313</v>
      </c>
      <c r="AH43" s="15" t="s">
        <v>132</v>
      </c>
      <c r="AI43" s="165" t="s">
        <v>64</v>
      </c>
      <c r="AJ43" s="172"/>
      <c r="AK43" s="40"/>
      <c r="AL43" s="706" t="s">
        <v>318</v>
      </c>
      <c r="AM43" s="1010" t="s">
        <v>146</v>
      </c>
      <c r="AN43" s="1010" t="s">
        <v>178</v>
      </c>
      <c r="AO43" s="706" t="s">
        <v>178</v>
      </c>
      <c r="AP43" s="706" t="s">
        <v>178</v>
      </c>
      <c r="AQ43" s="706" t="s">
        <v>178</v>
      </c>
      <c r="AR43" s="706" t="s">
        <v>178</v>
      </c>
      <c r="AS43" s="706" t="s">
        <v>178</v>
      </c>
      <c r="AV43" s="1052">
        <v>0.78819444444444442</v>
      </c>
    </row>
    <row r="44" spans="1:48" s="88" customFormat="1" ht="38.25" customHeight="1">
      <c r="A44" s="20">
        <v>28</v>
      </c>
      <c r="B44" s="113"/>
      <c r="C44" s="114" t="s">
        <v>122</v>
      </c>
      <c r="D44" s="114"/>
      <c r="E44" s="114" t="s">
        <v>122</v>
      </c>
      <c r="F44" s="115"/>
      <c r="G44" s="255" t="s">
        <v>319</v>
      </c>
      <c r="H44" s="114" t="s">
        <v>125</v>
      </c>
      <c r="I44" s="114"/>
      <c r="J44" s="114" t="s">
        <v>136</v>
      </c>
      <c r="K44" s="197" t="s">
        <v>238</v>
      </c>
      <c r="L44" s="194" t="s">
        <v>320</v>
      </c>
      <c r="M44" s="614"/>
      <c r="N44" s="626">
        <v>0.75</v>
      </c>
      <c r="O44" s="200">
        <f>N44 + TIME(2, 0, 0)</f>
        <v>0.83333333333333337</v>
      </c>
      <c r="P44" s="116">
        <f>N44+(Summary!$C$30)/24</f>
        <v>1.1458333333333333</v>
      </c>
      <c r="Q44" s="116" t="s">
        <v>178</v>
      </c>
      <c r="R44" s="117" t="s">
        <v>240</v>
      </c>
      <c r="S44" s="114" t="s">
        <v>241</v>
      </c>
      <c r="T44" s="118"/>
      <c r="U44" s="114"/>
      <c r="V44" s="114"/>
      <c r="W44" s="115"/>
      <c r="X44" s="114"/>
      <c r="Y44" s="119"/>
      <c r="Z44" s="114" t="s">
        <v>321</v>
      </c>
      <c r="AA44" s="120" t="s">
        <v>322</v>
      </c>
      <c r="AB44" s="120" t="s">
        <v>131</v>
      </c>
      <c r="AC44" s="114"/>
      <c r="AD44" s="217">
        <v>0.77083333333333337</v>
      </c>
      <c r="AE44" s="722">
        <v>0.79166666666666663</v>
      </c>
      <c r="AF44" s="114"/>
      <c r="AG44" s="114" t="s">
        <v>319</v>
      </c>
      <c r="AH44" s="121" t="s">
        <v>132</v>
      </c>
      <c r="AI44" s="131" t="s">
        <v>244</v>
      </c>
      <c r="AJ44" s="122"/>
      <c r="AK44" s="123"/>
      <c r="AV44" s="1052">
        <v>0.79166666666666663</v>
      </c>
    </row>
    <row r="45" spans="1:48" s="88" customFormat="1" ht="38.25" customHeight="1">
      <c r="A45" s="29" t="s">
        <v>228</v>
      </c>
      <c r="B45" s="1060">
        <v>28</v>
      </c>
      <c r="C45" s="29" t="s">
        <v>228</v>
      </c>
      <c r="D45" s="29" t="s">
        <v>228</v>
      </c>
      <c r="E45" s="33" t="s">
        <v>122</v>
      </c>
      <c r="F45" s="29" t="s">
        <v>228</v>
      </c>
      <c r="G45" s="29" t="s">
        <v>323</v>
      </c>
      <c r="H45" s="29" t="s">
        <v>125</v>
      </c>
      <c r="I45" s="29" t="s">
        <v>228</v>
      </c>
      <c r="J45" s="29" t="s">
        <v>324</v>
      </c>
      <c r="K45" s="29" t="s">
        <v>325</v>
      </c>
      <c r="L45" s="29" t="s">
        <v>326</v>
      </c>
      <c r="M45" s="29" t="s">
        <v>228</v>
      </c>
      <c r="N45" s="1060" t="s">
        <v>327</v>
      </c>
      <c r="O45" s="29" t="s">
        <v>228</v>
      </c>
      <c r="P45" s="29" t="s">
        <v>228</v>
      </c>
      <c r="Q45" s="29" t="s">
        <v>228</v>
      </c>
      <c r="R45" s="29" t="s">
        <v>228</v>
      </c>
      <c r="S45" s="29" t="s">
        <v>228</v>
      </c>
      <c r="T45" s="29" t="s">
        <v>130</v>
      </c>
      <c r="U45" s="29" t="s">
        <v>228</v>
      </c>
      <c r="V45" s="29" t="s">
        <v>228</v>
      </c>
      <c r="W45" s="29" t="s">
        <v>228</v>
      </c>
      <c r="X45" s="29" t="s">
        <v>228</v>
      </c>
      <c r="Y45" s="29" t="s">
        <v>228</v>
      </c>
      <c r="Z45" s="29" t="s">
        <v>228</v>
      </c>
      <c r="AA45" s="29" t="s">
        <v>228</v>
      </c>
      <c r="AB45" s="29" t="s">
        <v>228</v>
      </c>
      <c r="AC45" s="29" t="s">
        <v>228</v>
      </c>
      <c r="AD45" s="29" t="s">
        <v>228</v>
      </c>
      <c r="AE45" s="29" t="s">
        <v>228</v>
      </c>
      <c r="AF45" s="29"/>
      <c r="AH45" s="29"/>
      <c r="AI45" s="130" t="s">
        <v>328</v>
      </c>
      <c r="AJ45" s="29"/>
      <c r="AK45" s="29"/>
      <c r="AL45" s="29"/>
      <c r="AM45" s="29"/>
      <c r="AN45" s="29"/>
      <c r="AV45" s="1052" t="e">
        <v>#VALUE!</v>
      </c>
    </row>
    <row r="46" spans="1:48" s="744" customFormat="1" ht="178.5">
      <c r="A46" s="723">
        <v>29</v>
      </c>
      <c r="B46" s="724">
        <v>28</v>
      </c>
      <c r="C46" s="725"/>
      <c r="D46" s="725"/>
      <c r="E46" s="725"/>
      <c r="F46" s="89"/>
      <c r="G46" s="726" t="s">
        <v>329</v>
      </c>
      <c r="H46" s="727" t="s">
        <v>125</v>
      </c>
      <c r="I46" s="727"/>
      <c r="J46" s="728" t="s">
        <v>126</v>
      </c>
      <c r="K46" s="729" t="s">
        <v>330</v>
      </c>
      <c r="L46" s="730" t="s">
        <v>331</v>
      </c>
      <c r="M46" s="731"/>
      <c r="N46" s="732">
        <v>0.78125</v>
      </c>
      <c r="O46" s="733"/>
      <c r="P46" s="734">
        <f>N46+(Summary!$C$30)/24</f>
        <v>1.1770833333333333</v>
      </c>
      <c r="Q46" s="734" t="s">
        <v>178</v>
      </c>
      <c r="R46" s="799"/>
      <c r="S46" s="735"/>
      <c r="T46" s="736" t="s">
        <v>130</v>
      </c>
      <c r="U46" s="737"/>
      <c r="V46" s="727"/>
      <c r="W46" s="89"/>
      <c r="X46" s="727"/>
      <c r="Y46" s="738"/>
      <c r="Z46" s="727" t="s">
        <v>286</v>
      </c>
      <c r="AA46" s="739" t="s">
        <v>287</v>
      </c>
      <c r="AB46" s="739" t="s">
        <v>131</v>
      </c>
      <c r="AC46" s="758"/>
      <c r="AD46" s="756">
        <v>0.79166666666666663</v>
      </c>
      <c r="AE46" s="756"/>
      <c r="AF46" s="764"/>
      <c r="AG46" s="725"/>
      <c r="AH46" s="740" t="s">
        <v>132</v>
      </c>
      <c r="AI46" s="800" t="s">
        <v>56</v>
      </c>
      <c r="AJ46" s="741"/>
      <c r="AK46" s="742"/>
      <c r="AV46" s="1052">
        <v>0</v>
      </c>
    </row>
    <row r="47" spans="1:48" s="744" customFormat="1" ht="38.25" customHeight="1">
      <c r="A47" s="723">
        <v>30</v>
      </c>
      <c r="B47" s="724">
        <v>29</v>
      </c>
      <c r="C47" s="725"/>
      <c r="D47" s="725"/>
      <c r="E47" s="725"/>
      <c r="F47" s="89"/>
      <c r="G47" s="746" t="s">
        <v>332</v>
      </c>
      <c r="H47" s="727" t="s">
        <v>125</v>
      </c>
      <c r="I47" s="727"/>
      <c r="J47" s="728" t="s">
        <v>136</v>
      </c>
      <c r="K47" s="729" t="s">
        <v>333</v>
      </c>
      <c r="L47" s="730" t="s">
        <v>331</v>
      </c>
      <c r="M47" s="731"/>
      <c r="N47" s="732">
        <v>0.79166666666666663</v>
      </c>
      <c r="O47" s="733"/>
      <c r="P47" s="734">
        <f>N47+(Summary!$C$30)/24</f>
        <v>1.1875</v>
      </c>
      <c r="Q47" s="734" t="s">
        <v>178</v>
      </c>
      <c r="R47" s="799"/>
      <c r="S47" s="735"/>
      <c r="T47" s="736" t="s">
        <v>130</v>
      </c>
      <c r="U47" s="737"/>
      <c r="V47" s="745" t="s">
        <v>292</v>
      </c>
      <c r="W47" s="89" t="s">
        <v>293</v>
      </c>
      <c r="X47" s="727"/>
      <c r="Y47" s="738"/>
      <c r="Z47" s="727" t="s">
        <v>294</v>
      </c>
      <c r="AA47" s="739" t="s">
        <v>295</v>
      </c>
      <c r="AB47" s="739" t="s">
        <v>131</v>
      </c>
      <c r="AC47" s="758"/>
      <c r="AD47" s="756">
        <v>0.80208333333333337</v>
      </c>
      <c r="AE47" s="756">
        <v>0.83333333333333337</v>
      </c>
      <c r="AF47" s="764"/>
      <c r="AG47" s="89" t="s">
        <v>332</v>
      </c>
      <c r="AH47" s="740" t="s">
        <v>132</v>
      </c>
      <c r="AI47" s="800" t="s">
        <v>56</v>
      </c>
      <c r="AJ47" s="741"/>
      <c r="AK47" s="742"/>
      <c r="AV47" s="1052">
        <v>0.83333333333333337</v>
      </c>
    </row>
    <row r="48" spans="1:48" s="88" customFormat="1" ht="105" customHeight="1">
      <c r="A48" s="20">
        <v>31</v>
      </c>
      <c r="B48" s="95"/>
      <c r="C48" s="33" t="s">
        <v>122</v>
      </c>
      <c r="D48" s="33" t="s">
        <v>301</v>
      </c>
      <c r="E48" s="33" t="s">
        <v>122</v>
      </c>
      <c r="F48" s="201" t="s">
        <v>24</v>
      </c>
      <c r="G48" s="186" t="s">
        <v>334</v>
      </c>
      <c r="H48" s="65" t="s">
        <v>125</v>
      </c>
      <c r="I48" s="65"/>
      <c r="J48" s="63" t="s">
        <v>136</v>
      </c>
      <c r="K48" s="110" t="s">
        <v>335</v>
      </c>
      <c r="L48" s="65" t="s">
        <v>336</v>
      </c>
      <c r="M48" s="605"/>
      <c r="N48" s="996">
        <v>0.79166666666666663</v>
      </c>
      <c r="O48" s="199">
        <f>N48 + TIME(2, 0, 0)</f>
        <v>0.875</v>
      </c>
      <c r="P48" s="99">
        <f>N48+(Summary!$C$30)/24</f>
        <v>1.1875</v>
      </c>
      <c r="Q48" s="99" t="s">
        <v>178</v>
      </c>
      <c r="R48" s="100" t="s">
        <v>187</v>
      </c>
      <c r="S48" s="100" t="s">
        <v>188</v>
      </c>
      <c r="T48" s="105" t="s">
        <v>130</v>
      </c>
      <c r="U48" s="688" t="s">
        <v>337</v>
      </c>
      <c r="V48" s="63"/>
      <c r="W48" s="33"/>
      <c r="X48" s="63"/>
      <c r="Y48" s="76"/>
      <c r="Z48" s="65"/>
      <c r="AA48" s="77"/>
      <c r="AB48" s="77" t="s">
        <v>131</v>
      </c>
      <c r="AC48" s="204"/>
      <c r="AD48" s="767">
        <v>0.8125</v>
      </c>
      <c r="AE48" s="757">
        <v>0.83333333333333337</v>
      </c>
      <c r="AF48" s="765"/>
      <c r="AG48" s="29" t="s">
        <v>334</v>
      </c>
      <c r="AH48" s="15" t="s">
        <v>132</v>
      </c>
      <c r="AI48" s="165" t="s">
        <v>66</v>
      </c>
      <c r="AJ48" s="1154" t="s">
        <v>305</v>
      </c>
      <c r="AK48" s="40"/>
      <c r="AV48" s="1052">
        <v>0.83333333333333337</v>
      </c>
    </row>
    <row r="49" spans="1:49" s="743" customFormat="1" ht="178.5">
      <c r="A49" s="723">
        <v>32</v>
      </c>
      <c r="B49" s="724">
        <v>30</v>
      </c>
      <c r="C49" s="725"/>
      <c r="D49" s="725"/>
      <c r="E49" s="725"/>
      <c r="F49" s="89"/>
      <c r="G49" s="747" t="s">
        <v>338</v>
      </c>
      <c r="H49" s="727" t="s">
        <v>125</v>
      </c>
      <c r="I49" s="727"/>
      <c r="J49" s="728" t="s">
        <v>126</v>
      </c>
      <c r="K49" s="729" t="s">
        <v>339</v>
      </c>
      <c r="L49" s="730" t="s">
        <v>340</v>
      </c>
      <c r="M49" s="731"/>
      <c r="N49" s="732">
        <v>0.80208333333333337</v>
      </c>
      <c r="O49" s="733"/>
      <c r="P49" s="734">
        <f>N49+(Summary!$C$30)/24</f>
        <v>1.1979166666666667</v>
      </c>
      <c r="Q49" s="734" t="s">
        <v>178</v>
      </c>
      <c r="R49" s="799"/>
      <c r="S49" s="735"/>
      <c r="T49" s="736" t="s">
        <v>130</v>
      </c>
      <c r="U49" s="737"/>
      <c r="V49" s="727"/>
      <c r="W49" s="89"/>
      <c r="X49" s="727"/>
      <c r="Y49" s="738"/>
      <c r="Z49" s="727" t="s">
        <v>286</v>
      </c>
      <c r="AA49" s="739" t="s">
        <v>287</v>
      </c>
      <c r="AB49" s="739" t="s">
        <v>131</v>
      </c>
      <c r="AC49" s="758"/>
      <c r="AD49" s="768">
        <v>0.8125</v>
      </c>
      <c r="AE49" s="756"/>
      <c r="AF49" s="764"/>
      <c r="AG49" s="725"/>
      <c r="AH49" s="740" t="s">
        <v>132</v>
      </c>
      <c r="AI49" s="800" t="s">
        <v>56</v>
      </c>
      <c r="AJ49" s="741"/>
      <c r="AK49" s="742"/>
      <c r="AL49" s="744"/>
      <c r="AM49" s="744"/>
      <c r="AN49" s="744"/>
      <c r="AO49" s="744"/>
      <c r="AP49" s="744"/>
      <c r="AQ49" s="744"/>
      <c r="AR49" s="744"/>
      <c r="AS49" s="744"/>
      <c r="AT49" s="744"/>
      <c r="AU49" s="744"/>
      <c r="AV49" s="1052">
        <v>0</v>
      </c>
      <c r="AW49" s="744"/>
    </row>
    <row r="50" spans="1:49" s="743" customFormat="1" ht="105" customHeight="1">
      <c r="A50" s="723">
        <v>33</v>
      </c>
      <c r="B50" s="724">
        <v>32</v>
      </c>
      <c r="C50" s="725"/>
      <c r="D50" s="725"/>
      <c r="E50" s="725"/>
      <c r="F50" s="89"/>
      <c r="G50" s="747" t="s">
        <v>341</v>
      </c>
      <c r="H50" s="727" t="s">
        <v>125</v>
      </c>
      <c r="I50" s="727"/>
      <c r="J50" s="728" t="s">
        <v>136</v>
      </c>
      <c r="K50" s="729" t="s">
        <v>342</v>
      </c>
      <c r="L50" s="730" t="s">
        <v>340</v>
      </c>
      <c r="M50" s="731"/>
      <c r="N50" s="732">
        <v>0.8125</v>
      </c>
      <c r="O50" s="733"/>
      <c r="P50" s="734">
        <f>N50+(Summary!$C$30)/24</f>
        <v>1.2083333333333333</v>
      </c>
      <c r="Q50" s="734" t="s">
        <v>178</v>
      </c>
      <c r="R50" s="799"/>
      <c r="S50" s="735"/>
      <c r="T50" s="736" t="s">
        <v>130</v>
      </c>
      <c r="U50" s="737"/>
      <c r="V50" s="745" t="s">
        <v>292</v>
      </c>
      <c r="W50" s="89" t="s">
        <v>293</v>
      </c>
      <c r="X50" s="727"/>
      <c r="Y50" s="738"/>
      <c r="Z50" s="727" t="s">
        <v>294</v>
      </c>
      <c r="AA50" s="739" t="s">
        <v>295</v>
      </c>
      <c r="AB50" s="739" t="s">
        <v>131</v>
      </c>
      <c r="AC50" s="758"/>
      <c r="AD50" s="768">
        <v>0.82291666666666663</v>
      </c>
      <c r="AE50" s="756">
        <v>0.83333333333333337</v>
      </c>
      <c r="AF50" s="764"/>
      <c r="AG50" s="89" t="s">
        <v>341</v>
      </c>
      <c r="AH50" s="740" t="s">
        <v>132</v>
      </c>
      <c r="AI50" s="800" t="s">
        <v>56</v>
      </c>
      <c r="AJ50" s="741"/>
      <c r="AK50" s="742"/>
      <c r="AL50" s="801" t="s">
        <v>343</v>
      </c>
      <c r="AM50" s="801" t="s">
        <v>146</v>
      </c>
      <c r="AN50" s="801" t="s">
        <v>178</v>
      </c>
      <c r="AO50" s="801" t="s">
        <v>178</v>
      </c>
      <c r="AP50" s="801" t="s">
        <v>178</v>
      </c>
      <c r="AQ50" s="801" t="s">
        <v>178</v>
      </c>
      <c r="AR50" s="801" t="s">
        <v>178</v>
      </c>
      <c r="AS50" s="801" t="s">
        <v>178</v>
      </c>
      <c r="AT50" s="744"/>
      <c r="AU50" s="744"/>
      <c r="AV50" s="1052">
        <v>0.84027777777777779</v>
      </c>
      <c r="AW50" s="744"/>
    </row>
    <row r="51" spans="1:49" s="444" customFormat="1" ht="105">
      <c r="A51" s="20">
        <v>34</v>
      </c>
      <c r="B51" s="430" t="s">
        <v>344</v>
      </c>
      <c r="C51" s="431"/>
      <c r="D51" s="431" t="s">
        <v>301</v>
      </c>
      <c r="E51" s="431"/>
      <c r="F51" s="432" t="s">
        <v>24</v>
      </c>
      <c r="G51" s="748" t="s">
        <v>345</v>
      </c>
      <c r="H51" s="433"/>
      <c r="I51" s="433"/>
      <c r="J51" s="433" t="s">
        <v>346</v>
      </c>
      <c r="K51" s="434" t="s">
        <v>166</v>
      </c>
      <c r="L51" s="433"/>
      <c r="M51" s="615"/>
      <c r="N51" s="633">
        <v>0.82291666666666663</v>
      </c>
      <c r="O51" s="451"/>
      <c r="P51" s="435">
        <f>N51+(Summary!$C$30)/24</f>
        <v>1.21875</v>
      </c>
      <c r="Q51" s="435" t="s">
        <v>178</v>
      </c>
      <c r="R51" s="436"/>
      <c r="S51" s="436"/>
      <c r="T51" s="437" t="s">
        <v>130</v>
      </c>
      <c r="U51" s="688" t="s">
        <v>337</v>
      </c>
      <c r="V51" s="438"/>
      <c r="W51" s="431"/>
      <c r="X51" s="438"/>
      <c r="Y51" s="439"/>
      <c r="Z51" s="433"/>
      <c r="AA51" s="440"/>
      <c r="AB51" s="125" t="s">
        <v>131</v>
      </c>
      <c r="AC51" s="759"/>
      <c r="AD51" s="757">
        <v>0.83333333333333337</v>
      </c>
      <c r="AE51" s="769">
        <v>0.85416666666666663</v>
      </c>
      <c r="AF51" s="766"/>
      <c r="AG51" s="1151" t="s">
        <v>347</v>
      </c>
      <c r="AH51" s="441"/>
      <c r="AI51" s="442" t="s">
        <v>228</v>
      </c>
      <c r="AJ51" s="1154" t="s">
        <v>305</v>
      </c>
      <c r="AK51" s="443"/>
      <c r="AL51" s="698" t="s">
        <v>348</v>
      </c>
      <c r="AM51" s="698" t="s">
        <v>171</v>
      </c>
      <c r="AN51" s="710" t="s">
        <v>178</v>
      </c>
      <c r="AO51" s="710" t="s">
        <v>178</v>
      </c>
      <c r="AP51" s="710" t="s">
        <v>178</v>
      </c>
      <c r="AQ51" s="710" t="s">
        <v>178</v>
      </c>
      <c r="AR51" s="710" t="s">
        <v>178</v>
      </c>
      <c r="AS51" s="710" t="s">
        <v>178</v>
      </c>
      <c r="AV51" s="1052">
        <v>0.86111111111111105</v>
      </c>
    </row>
    <row r="52" spans="1:49" s="88" customFormat="1" ht="65.25" customHeight="1">
      <c r="A52" s="723">
        <v>35</v>
      </c>
      <c r="B52" s="93"/>
      <c r="C52" s="33"/>
      <c r="D52" s="33" t="s">
        <v>152</v>
      </c>
      <c r="E52" s="33"/>
      <c r="F52" s="37"/>
      <c r="G52" s="63" t="s">
        <v>349</v>
      </c>
      <c r="H52" s="65"/>
      <c r="I52" s="65"/>
      <c r="J52" s="63" t="s">
        <v>136</v>
      </c>
      <c r="K52" s="110" t="s">
        <v>67</v>
      </c>
      <c r="L52" s="65" t="s">
        <v>350</v>
      </c>
      <c r="M52" s="605"/>
      <c r="N52" s="627">
        <v>0.83333333333333337</v>
      </c>
      <c r="O52" s="199">
        <v>0.91666666666666663</v>
      </c>
      <c r="P52" s="99"/>
      <c r="Q52" s="99" t="s">
        <v>178</v>
      </c>
      <c r="R52" s="100" t="s">
        <v>213</v>
      </c>
      <c r="S52" s="100"/>
      <c r="T52" s="105" t="s">
        <v>130</v>
      </c>
      <c r="U52" t="s">
        <v>351</v>
      </c>
      <c r="V52" s="63"/>
      <c r="W52" s="33"/>
      <c r="X52" s="63"/>
      <c r="Y52" s="76"/>
      <c r="Z52" s="65"/>
      <c r="AA52" s="77"/>
      <c r="AB52" s="77"/>
      <c r="AC52" s="204"/>
      <c r="AD52" s="99">
        <v>0.85416666666666663</v>
      </c>
      <c r="AE52" s="99">
        <v>0.875</v>
      </c>
      <c r="AF52" s="765"/>
      <c r="AG52" s="68" t="s">
        <v>349</v>
      </c>
      <c r="AH52" s="15"/>
      <c r="AI52" s="130" t="s">
        <v>352</v>
      </c>
      <c r="AJ52" s="45"/>
      <c r="AK52" s="40"/>
      <c r="AV52" s="1052">
        <v>0.875</v>
      </c>
    </row>
    <row r="53" spans="1:49" s="264" customFormat="1" ht="91.5" customHeight="1">
      <c r="A53" s="723">
        <v>36</v>
      </c>
      <c r="B53" s="538">
        <v>36</v>
      </c>
      <c r="C53" s="539"/>
      <c r="D53" s="539" t="s">
        <v>152</v>
      </c>
      <c r="E53" s="539"/>
      <c r="F53" s="256" t="s">
        <v>24</v>
      </c>
      <c r="G53" s="540"/>
      <c r="H53" s="258"/>
      <c r="I53" s="258"/>
      <c r="J53" s="541" t="s">
        <v>353</v>
      </c>
      <c r="K53" s="257" t="s">
        <v>166</v>
      </c>
      <c r="L53" s="258" t="s">
        <v>354</v>
      </c>
      <c r="M53" s="542"/>
      <c r="N53" s="543">
        <v>0.84375</v>
      </c>
      <c r="O53" s="263"/>
      <c r="P53" s="258"/>
      <c r="Q53" s="258"/>
      <c r="R53" s="258"/>
      <c r="S53" s="258"/>
      <c r="T53" s="258" t="s">
        <v>130</v>
      </c>
      <c r="U53" s="258"/>
      <c r="V53" s="258"/>
      <c r="W53" s="258"/>
      <c r="X53" s="258"/>
      <c r="Y53" s="258"/>
      <c r="Z53" s="258"/>
      <c r="AA53" s="263"/>
      <c r="AB53" s="263"/>
      <c r="AC53" s="760"/>
      <c r="AD53" s="259">
        <v>0.85416666666666663</v>
      </c>
      <c r="AE53" s="259">
        <v>0.875</v>
      </c>
      <c r="AF53" s="263"/>
      <c r="AG53" s="263" t="s">
        <v>355</v>
      </c>
      <c r="AH53" s="263"/>
      <c r="AI53" s="263"/>
      <c r="AJ53" s="263"/>
      <c r="AK53" s="263"/>
      <c r="AL53" s="693" t="s">
        <v>356</v>
      </c>
      <c r="AM53" s="693" t="s">
        <v>171</v>
      </c>
      <c r="AN53" s="694" t="s">
        <v>178</v>
      </c>
      <c r="AO53" s="694" t="s">
        <v>178</v>
      </c>
      <c r="AP53" s="694" t="s">
        <v>178</v>
      </c>
      <c r="AQ53" s="694" t="s">
        <v>178</v>
      </c>
      <c r="AR53" s="694" t="s">
        <v>178</v>
      </c>
      <c r="AS53" s="694" t="s">
        <v>178</v>
      </c>
      <c r="AV53" s="1052">
        <v>0.88194444444444442</v>
      </c>
    </row>
    <row r="54" spans="1:49" s="88" customFormat="1" ht="94.5" customHeight="1">
      <c r="A54" s="20">
        <v>37</v>
      </c>
      <c r="B54" s="93"/>
      <c r="C54" s="65" t="s">
        <v>122</v>
      </c>
      <c r="D54" s="65"/>
      <c r="E54" s="65" t="s">
        <v>122</v>
      </c>
      <c r="F54" s="68"/>
      <c r="G54" s="65" t="s">
        <v>357</v>
      </c>
      <c r="H54" s="65" t="s">
        <v>125</v>
      </c>
      <c r="I54" s="65"/>
      <c r="J54" s="65" t="s">
        <v>136</v>
      </c>
      <c r="K54" s="110" t="s">
        <v>358</v>
      </c>
      <c r="L54" s="65" t="s">
        <v>359</v>
      </c>
      <c r="M54" s="605"/>
      <c r="N54" s="996">
        <v>0.84375</v>
      </c>
      <c r="O54" s="199">
        <v>0.97916666666666663</v>
      </c>
      <c r="P54" s="99"/>
      <c r="Q54" s="99" t="s">
        <v>178</v>
      </c>
      <c r="R54" s="100" t="s">
        <v>213</v>
      </c>
      <c r="S54" s="100"/>
      <c r="T54" s="105" t="s">
        <v>130</v>
      </c>
      <c r="U54" t="s">
        <v>351</v>
      </c>
      <c r="V54" s="63"/>
      <c r="W54" s="33"/>
      <c r="X54" s="63"/>
      <c r="Y54" s="76"/>
      <c r="Z54" s="65"/>
      <c r="AA54" s="77"/>
      <c r="AB54" s="77"/>
      <c r="AC54" s="761"/>
      <c r="AD54" s="99">
        <v>0.90625</v>
      </c>
      <c r="AE54" s="99">
        <v>0.91666666666666663</v>
      </c>
      <c r="AF54" s="77"/>
      <c r="AG54" s="573" t="s">
        <v>357</v>
      </c>
      <c r="AH54" s="77"/>
      <c r="AI54" s="130" t="s">
        <v>360</v>
      </c>
      <c r="AJ54" s="77"/>
      <c r="AK54" s="77"/>
      <c r="AL54" s="706"/>
      <c r="AM54" s="706"/>
      <c r="AN54" s="706"/>
      <c r="AV54" s="1052">
        <v>0.91666666666666663</v>
      </c>
    </row>
    <row r="55" spans="1:49" s="574" customFormat="1" ht="94.5" customHeight="1">
      <c r="A55" s="559"/>
      <c r="B55" s="560">
        <v>37</v>
      </c>
      <c r="C55" s="561"/>
      <c r="D55" s="561"/>
      <c r="E55" s="561"/>
      <c r="F55" s="562" t="s">
        <v>24</v>
      </c>
      <c r="G55" s="561"/>
      <c r="H55" s="561"/>
      <c r="I55" s="561"/>
      <c r="J55" s="563" t="s">
        <v>361</v>
      </c>
      <c r="K55" s="564" t="s">
        <v>166</v>
      </c>
      <c r="L55" s="561" t="s">
        <v>362</v>
      </c>
      <c r="M55" s="616"/>
      <c r="N55" s="997">
        <v>0.84375</v>
      </c>
      <c r="O55" s="565"/>
      <c r="P55" s="566"/>
      <c r="Q55" s="566"/>
      <c r="R55" s="567"/>
      <c r="S55" s="567"/>
      <c r="T55" s="568" t="s">
        <v>130</v>
      </c>
      <c r="U55" s="569" t="s">
        <v>351</v>
      </c>
      <c r="V55" s="570"/>
      <c r="W55" s="571"/>
      <c r="X55" s="570"/>
      <c r="Y55" s="572"/>
      <c r="Z55" s="561"/>
      <c r="AA55" s="573"/>
      <c r="AB55" s="573"/>
      <c r="AC55" s="762"/>
      <c r="AD55" s="566">
        <v>0.90625</v>
      </c>
      <c r="AE55" s="566">
        <v>0.91666666666666663</v>
      </c>
      <c r="AF55" s="573"/>
      <c r="AG55" s="573" t="s">
        <v>357</v>
      </c>
      <c r="AH55" s="1002"/>
      <c r="AI55" s="1002"/>
      <c r="AJ55" s="1002"/>
      <c r="AK55" s="1002"/>
      <c r="AL55" s="709" t="s">
        <v>363</v>
      </c>
      <c r="AM55" s="709" t="s">
        <v>171</v>
      </c>
      <c r="AN55" s="708" t="s">
        <v>178</v>
      </c>
      <c r="AO55" s="708" t="s">
        <v>178</v>
      </c>
      <c r="AP55" s="708" t="s">
        <v>178</v>
      </c>
      <c r="AQ55" s="708" t="s">
        <v>178</v>
      </c>
      <c r="AR55" s="708" t="s">
        <v>178</v>
      </c>
      <c r="AS55" s="708" t="s">
        <v>178</v>
      </c>
      <c r="AV55" s="1052">
        <v>0.92361111111111105</v>
      </c>
    </row>
    <row r="56" spans="1:49" s="574" customFormat="1" ht="87.75" customHeight="1">
      <c r="A56" s="20" t="s">
        <v>228</v>
      </c>
      <c r="B56" s="93">
        <v>28</v>
      </c>
      <c r="C56" s="65" t="s">
        <v>122</v>
      </c>
      <c r="D56" s="65" t="s">
        <v>228</v>
      </c>
      <c r="E56" s="65" t="s">
        <v>122</v>
      </c>
      <c r="F56" s="68" t="s">
        <v>228</v>
      </c>
      <c r="G56" s="65" t="s">
        <v>364</v>
      </c>
      <c r="H56" s="20" t="s">
        <v>125</v>
      </c>
      <c r="I56" s="93" t="s">
        <v>228</v>
      </c>
      <c r="J56" s="65" t="s">
        <v>324</v>
      </c>
      <c r="K56" s="65" t="s">
        <v>365</v>
      </c>
      <c r="L56" s="65" t="s">
        <v>366</v>
      </c>
      <c r="M56" s="68" t="s">
        <v>228</v>
      </c>
      <c r="N56" s="1059" t="s">
        <v>327</v>
      </c>
      <c r="O56" s="20" t="s">
        <v>228</v>
      </c>
      <c r="P56" s="93" t="s">
        <v>228</v>
      </c>
      <c r="Q56" s="65" t="s">
        <v>228</v>
      </c>
      <c r="R56" s="65" t="s">
        <v>228</v>
      </c>
      <c r="S56" s="65" t="s">
        <v>228</v>
      </c>
      <c r="T56" s="68" t="s">
        <v>130</v>
      </c>
      <c r="U56" s="65"/>
      <c r="V56" s="20" t="s">
        <v>228</v>
      </c>
      <c r="W56" s="93" t="s">
        <v>228</v>
      </c>
      <c r="X56" s="65" t="s">
        <v>228</v>
      </c>
      <c r="Y56" s="65" t="s">
        <v>228</v>
      </c>
      <c r="Z56" s="65" t="s">
        <v>228</v>
      </c>
      <c r="AA56" s="68" t="s">
        <v>228</v>
      </c>
      <c r="AB56" s="65"/>
      <c r="AC56" s="20"/>
      <c r="AD56" s="93"/>
      <c r="AE56" s="65"/>
      <c r="AF56" s="65"/>
      <c r="AG56" s="65"/>
      <c r="AH56" s="68"/>
      <c r="AI56" s="130" t="s">
        <v>160</v>
      </c>
      <c r="AJ56" s="20"/>
      <c r="AK56" s="93"/>
      <c r="AL56" s="65"/>
      <c r="AM56" s="65"/>
      <c r="AN56" s="65"/>
      <c r="AV56" s="1052">
        <v>0</v>
      </c>
    </row>
    <row r="57" spans="1:49" s="88" customFormat="1" ht="37.5" customHeight="1">
      <c r="A57" s="20">
        <v>40</v>
      </c>
      <c r="B57" s="93"/>
      <c r="C57" s="65" t="s">
        <v>122</v>
      </c>
      <c r="D57" s="65"/>
      <c r="E57" s="65" t="s">
        <v>122</v>
      </c>
      <c r="F57" s="68"/>
      <c r="G57" s="65" t="s">
        <v>367</v>
      </c>
      <c r="H57" s="65" t="s">
        <v>125</v>
      </c>
      <c r="I57" s="65"/>
      <c r="J57" s="65" t="s">
        <v>136</v>
      </c>
      <c r="K57" s="110" t="s">
        <v>368</v>
      </c>
      <c r="L57" s="65" t="s">
        <v>369</v>
      </c>
      <c r="M57" s="605"/>
      <c r="N57" s="59">
        <v>0.91666666666666663</v>
      </c>
      <c r="O57" s="221">
        <v>4.1666666666666664E-2</v>
      </c>
      <c r="P57" s="99"/>
      <c r="Q57" s="99"/>
      <c r="R57" s="100" t="s">
        <v>213</v>
      </c>
      <c r="S57" s="100"/>
      <c r="T57" s="105" t="s">
        <v>130</v>
      </c>
      <c r="U57" s="251"/>
      <c r="V57" s="63"/>
      <c r="W57" s="33"/>
      <c r="X57" s="63"/>
      <c r="Y57" s="76"/>
      <c r="Z57" s="65"/>
      <c r="AA57" s="77"/>
      <c r="AB57" s="77"/>
      <c r="AC57" s="761"/>
      <c r="AD57" s="99">
        <v>0.9375</v>
      </c>
      <c r="AE57" s="99">
        <v>0.95833333333333337</v>
      </c>
      <c r="AF57" s="77"/>
      <c r="AG57" s="77"/>
      <c r="AH57" s="203"/>
      <c r="AI57" s="130" t="s">
        <v>370</v>
      </c>
      <c r="AJ57" s="203"/>
      <c r="AK57" s="203"/>
      <c r="AV57" s="1052">
        <v>0.95833333333333337</v>
      </c>
    </row>
    <row r="58" spans="1:49" s="596" customFormat="1" ht="42.75" customHeight="1">
      <c r="A58" s="578">
        <v>40.1</v>
      </c>
      <c r="B58" s="587">
        <v>40</v>
      </c>
      <c r="C58" s="588"/>
      <c r="D58" s="588"/>
      <c r="E58" s="588"/>
      <c r="F58" s="589" t="s">
        <v>24</v>
      </c>
      <c r="G58" s="590" t="s">
        <v>367</v>
      </c>
      <c r="H58" s="582"/>
      <c r="I58" s="582"/>
      <c r="J58" s="591" t="s">
        <v>371</v>
      </c>
      <c r="K58" s="592" t="s">
        <v>166</v>
      </c>
      <c r="L58" s="582" t="s">
        <v>372</v>
      </c>
      <c r="M58" s="617"/>
      <c r="N58" s="628">
        <v>0.91666666666666663</v>
      </c>
      <c r="O58" s="579"/>
      <c r="P58" s="580"/>
      <c r="Q58" s="580"/>
      <c r="R58" s="581"/>
      <c r="S58" s="581"/>
      <c r="T58" s="593" t="s">
        <v>130</v>
      </c>
      <c r="U58" s="594"/>
      <c r="V58" s="590"/>
      <c r="W58" s="588"/>
      <c r="X58" s="590"/>
      <c r="Y58" s="595"/>
      <c r="Z58" s="582"/>
      <c r="AA58" s="583"/>
      <c r="AB58" s="583"/>
      <c r="AC58" s="763"/>
      <c r="AD58" s="580">
        <v>0.94791666666666663</v>
      </c>
      <c r="AE58" s="580">
        <v>0.95833333333333337</v>
      </c>
      <c r="AF58" s="583"/>
      <c r="AG58" s="583"/>
      <c r="AH58" s="1001"/>
      <c r="AI58" s="1001"/>
      <c r="AJ58" s="1001"/>
      <c r="AK58" s="1001"/>
      <c r="AL58" s="802" t="s">
        <v>373</v>
      </c>
      <c r="AM58" s="700" t="s">
        <v>171</v>
      </c>
      <c r="AN58" s="697" t="s">
        <v>178</v>
      </c>
      <c r="AO58" s="697" t="s">
        <v>178</v>
      </c>
      <c r="AP58" s="697" t="s">
        <v>178</v>
      </c>
      <c r="AQ58" s="697" t="s">
        <v>178</v>
      </c>
      <c r="AR58" s="697" t="s">
        <v>178</v>
      </c>
      <c r="AS58" s="697" t="s">
        <v>178</v>
      </c>
      <c r="AV58" s="1052">
        <v>0.96527777777777779</v>
      </c>
    </row>
    <row r="59" spans="1:49" s="88" customFormat="1" ht="75" customHeight="1">
      <c r="A59" s="20">
        <v>40</v>
      </c>
      <c r="B59" s="93"/>
      <c r="C59" s="65" t="s">
        <v>122</v>
      </c>
      <c r="D59" s="65"/>
      <c r="E59" s="65" t="s">
        <v>122</v>
      </c>
      <c r="F59" s="68"/>
      <c r="G59" s="65" t="s">
        <v>374</v>
      </c>
      <c r="H59" s="65" t="s">
        <v>125</v>
      </c>
      <c r="I59" s="65"/>
      <c r="J59" s="65" t="s">
        <v>136</v>
      </c>
      <c r="K59" s="110" t="s">
        <v>368</v>
      </c>
      <c r="L59" s="1054" t="s">
        <v>375</v>
      </c>
      <c r="M59" s="605"/>
      <c r="N59" s="59">
        <v>0.98958333333333337</v>
      </c>
      <c r="O59" s="221"/>
      <c r="P59" s="99"/>
      <c r="Q59" s="99"/>
      <c r="R59" s="100"/>
      <c r="S59" s="100"/>
      <c r="T59" s="105" t="s">
        <v>130</v>
      </c>
      <c r="U59" s="251"/>
      <c r="V59" s="63"/>
      <c r="W59" s="33"/>
      <c r="X59" s="63"/>
      <c r="Y59" s="76"/>
      <c r="Z59" s="65"/>
      <c r="AA59" s="77"/>
      <c r="AB59" s="77"/>
      <c r="AC59" s="761"/>
      <c r="AD59" s="749">
        <v>4.1666666666666664E-2</v>
      </c>
      <c r="AE59" s="749">
        <v>4.1666666666666664E-2</v>
      </c>
      <c r="AF59" s="77"/>
      <c r="AG59" s="77" t="s">
        <v>367</v>
      </c>
      <c r="AH59" s="203"/>
      <c r="AI59" s="130" t="s">
        <v>376</v>
      </c>
      <c r="AJ59" s="203"/>
      <c r="AK59" s="203"/>
      <c r="AV59" s="1052">
        <v>4.1666666666666664E-2</v>
      </c>
    </row>
    <row r="60" spans="1:49" s="88" customFormat="1" ht="75" customHeight="1">
      <c r="A60" s="20">
        <v>40</v>
      </c>
      <c r="B60" s="95"/>
      <c r="C60" s="33" t="s">
        <v>122</v>
      </c>
      <c r="D60" s="33"/>
      <c r="E60" s="33" t="s">
        <v>122</v>
      </c>
      <c r="F60" s="249"/>
      <c r="G60" s="65" t="s">
        <v>377</v>
      </c>
      <c r="H60" s="65"/>
      <c r="I60" s="65"/>
      <c r="J60" s="65" t="s">
        <v>136</v>
      </c>
      <c r="K60" s="110" t="s">
        <v>378</v>
      </c>
      <c r="L60" s="65" t="s">
        <v>379</v>
      </c>
      <c r="M60" s="1053"/>
      <c r="N60" s="59">
        <v>6.9444444444444441E-3</v>
      </c>
      <c r="O60" s="199"/>
      <c r="P60" s="99"/>
      <c r="Q60" s="99"/>
      <c r="R60" s="100"/>
      <c r="S60" s="65"/>
      <c r="T60" s="102" t="s">
        <v>151</v>
      </c>
      <c r="U60" s="219"/>
      <c r="V60" s="65"/>
      <c r="W60" s="68"/>
      <c r="X60" s="65"/>
      <c r="Y60" s="76"/>
      <c r="Z60" s="65"/>
      <c r="AA60" s="77"/>
      <c r="AB60" s="77"/>
      <c r="AC60" s="63"/>
      <c r="AD60" s="60">
        <v>0.1875</v>
      </c>
      <c r="AE60" s="60">
        <v>0.1875</v>
      </c>
      <c r="AF60" s="33"/>
      <c r="AG60" s="68" t="s">
        <v>367</v>
      </c>
      <c r="AH60" s="15"/>
      <c r="AI60" s="131" t="s">
        <v>380</v>
      </c>
      <c r="AJ60" s="90"/>
      <c r="AK60" s="40"/>
      <c r="AV60" s="1052">
        <v>0.1875</v>
      </c>
    </row>
    <row r="61" spans="1:49" s="558" customFormat="1" ht="59.25" customHeight="1">
      <c r="A61" s="20">
        <v>119</v>
      </c>
      <c r="B61" s="93"/>
      <c r="C61" s="65" t="s">
        <v>122</v>
      </c>
      <c r="D61" s="65"/>
      <c r="E61" s="65" t="s">
        <v>122</v>
      </c>
      <c r="F61" s="68"/>
      <c r="G61" s="254" t="s">
        <v>381</v>
      </c>
      <c r="H61" s="65" t="s">
        <v>125</v>
      </c>
      <c r="I61" s="65"/>
      <c r="J61" s="65" t="s">
        <v>136</v>
      </c>
      <c r="K61" s="110" t="s">
        <v>382</v>
      </c>
      <c r="L61" s="1055" t="s">
        <v>383</v>
      </c>
      <c r="M61" s="605"/>
      <c r="N61" s="59">
        <v>0.91666666666666663</v>
      </c>
      <c r="O61" s="221"/>
      <c r="P61" s="99"/>
      <c r="Q61" s="99"/>
      <c r="R61" s="100"/>
      <c r="S61" s="100"/>
      <c r="T61" s="105" t="s">
        <v>144</v>
      </c>
      <c r="U61" s="251"/>
      <c r="V61" s="63"/>
      <c r="W61" s="33"/>
      <c r="X61" s="63"/>
      <c r="Y61" s="76"/>
      <c r="Z61" s="65"/>
      <c r="AA61" s="77"/>
      <c r="AB61" s="77"/>
      <c r="AC61" s="761"/>
      <c r="AD61" s="99">
        <v>0.9375</v>
      </c>
      <c r="AE61" s="99">
        <v>0.95833333333333337</v>
      </c>
      <c r="AF61" s="77"/>
      <c r="AG61" s="77" t="s">
        <v>381</v>
      </c>
      <c r="AH61" s="203"/>
      <c r="AI61" s="130" t="s">
        <v>384</v>
      </c>
      <c r="AJ61" s="203"/>
      <c r="AK61" s="203"/>
      <c r="AV61" s="1052">
        <v>0.95833333333333337</v>
      </c>
    </row>
    <row r="62" spans="1:49" s="88" customFormat="1" ht="38.25" customHeight="1">
      <c r="A62" s="20">
        <v>38</v>
      </c>
      <c r="B62" s="93"/>
      <c r="C62" s="65" t="s">
        <v>122</v>
      </c>
      <c r="D62" s="65" t="s">
        <v>152</v>
      </c>
      <c r="E62" s="65" t="s">
        <v>122</v>
      </c>
      <c r="F62" s="68"/>
      <c r="G62" s="65" t="s">
        <v>385</v>
      </c>
      <c r="H62" s="65" t="s">
        <v>125</v>
      </c>
      <c r="I62" s="65"/>
      <c r="J62" s="65" t="s">
        <v>136</v>
      </c>
      <c r="K62" s="110" t="s">
        <v>155</v>
      </c>
      <c r="L62" s="65" t="s">
        <v>386</v>
      </c>
      <c r="M62" s="605"/>
      <c r="N62" s="59">
        <v>0.92708333333333337</v>
      </c>
      <c r="O62" s="199">
        <v>0.98958333333333337</v>
      </c>
      <c r="P62" s="99"/>
      <c r="Q62" s="99"/>
      <c r="R62" s="100" t="s">
        <v>213</v>
      </c>
      <c r="S62" s="100"/>
      <c r="T62" s="105" t="s">
        <v>387</v>
      </c>
      <c r="U62" t="s">
        <v>388</v>
      </c>
      <c r="V62" s="63"/>
      <c r="W62" s="33"/>
      <c r="X62" s="63"/>
      <c r="Y62" s="76"/>
      <c r="Z62" s="65"/>
      <c r="AA62" s="77"/>
      <c r="AB62" s="77"/>
      <c r="AC62" s="761"/>
      <c r="AD62" s="99">
        <v>0.95833333333333337</v>
      </c>
      <c r="AE62" s="99">
        <v>0.96875</v>
      </c>
      <c r="AF62" s="77"/>
      <c r="AG62" s="77" t="s">
        <v>389</v>
      </c>
      <c r="AH62" s="203"/>
      <c r="AI62" s="130" t="s">
        <v>390</v>
      </c>
      <c r="AJ62" s="203"/>
      <c r="AK62" s="203"/>
      <c r="AV62" s="1052">
        <v>0.96875</v>
      </c>
    </row>
    <row r="63" spans="1:49" ht="51" customHeight="1">
      <c r="A63" s="544">
        <v>38.1</v>
      </c>
      <c r="B63" s="550">
        <v>36</v>
      </c>
      <c r="C63" s="551"/>
      <c r="D63" s="551" t="s">
        <v>152</v>
      </c>
      <c r="E63" s="916" t="s">
        <v>391</v>
      </c>
      <c r="F63" s="552" t="s">
        <v>24</v>
      </c>
      <c r="G63" s="553"/>
      <c r="H63" s="545"/>
      <c r="I63" s="545"/>
      <c r="J63" s="554" t="s">
        <v>392</v>
      </c>
      <c r="K63" s="555" t="s">
        <v>166</v>
      </c>
      <c r="L63" s="545" t="s">
        <v>393</v>
      </c>
      <c r="M63" s="556"/>
      <c r="N63" s="557">
        <v>0.92708333333333337</v>
      </c>
      <c r="O63" s="546"/>
      <c r="P63" s="545"/>
      <c r="Q63" s="545"/>
      <c r="R63" s="545"/>
      <c r="S63" s="545"/>
      <c r="T63" s="545" t="s">
        <v>387</v>
      </c>
      <c r="U63" s="545" t="s">
        <v>388</v>
      </c>
      <c r="V63" s="545"/>
      <c r="W63" s="545"/>
      <c r="X63" s="545"/>
      <c r="Y63" s="545"/>
      <c r="Z63" s="545"/>
      <c r="AA63" s="546"/>
      <c r="AB63" s="546"/>
      <c r="AC63" s="546"/>
      <c r="AD63" s="770">
        <v>0.95833333333333337</v>
      </c>
      <c r="AE63" s="772">
        <v>0.96875</v>
      </c>
      <c r="AF63" s="546"/>
      <c r="AG63" s="546" t="s">
        <v>391</v>
      </c>
      <c r="AH63" s="546"/>
      <c r="AI63" s="546"/>
      <c r="AJ63" s="546"/>
      <c r="AK63" s="546"/>
      <c r="AL63" s="699" t="s">
        <v>394</v>
      </c>
      <c r="AM63" s="701" t="s">
        <v>171</v>
      </c>
      <c r="AN63" s="706" t="s">
        <v>178</v>
      </c>
      <c r="AO63" s="706" t="s">
        <v>178</v>
      </c>
      <c r="AP63" s="706" t="s">
        <v>178</v>
      </c>
      <c r="AQ63" s="706" t="s">
        <v>178</v>
      </c>
      <c r="AR63" s="706" t="s">
        <v>178</v>
      </c>
      <c r="AS63" s="706" t="s">
        <v>395</v>
      </c>
      <c r="AV63" s="1052">
        <v>0.97569444444444442</v>
      </c>
    </row>
    <row r="64" spans="1:49" ht="51" customHeight="1">
      <c r="A64" s="20">
        <v>31</v>
      </c>
      <c r="B64" s="93"/>
      <c r="C64" s="65" t="s">
        <v>122</v>
      </c>
      <c r="D64" s="65"/>
      <c r="E64" s="65" t="s">
        <v>122</v>
      </c>
      <c r="F64" s="68"/>
      <c r="G64" s="254" t="s">
        <v>396</v>
      </c>
      <c r="H64" s="65" t="s">
        <v>125</v>
      </c>
      <c r="I64" s="65"/>
      <c r="J64" s="65" t="s">
        <v>136</v>
      </c>
      <c r="K64" s="109" t="s">
        <v>238</v>
      </c>
      <c r="L64" s="65" t="s">
        <v>397</v>
      </c>
      <c r="M64" s="610"/>
      <c r="N64" s="59">
        <v>0.95833333333333337</v>
      </c>
      <c r="O64" s="199">
        <f>N64 + TIME(2, 0, 0)</f>
        <v>1.0416666666666667</v>
      </c>
      <c r="P64" s="99">
        <f>N64+(Summary!$C$30)/24</f>
        <v>1.3541666666666667</v>
      </c>
      <c r="Q64" s="99" t="s">
        <v>178</v>
      </c>
      <c r="R64" s="100" t="s">
        <v>240</v>
      </c>
      <c r="S64" s="65" t="s">
        <v>241</v>
      </c>
      <c r="T64" s="103"/>
      <c r="U64" s="65"/>
      <c r="V64" s="65"/>
      <c r="W64" s="68"/>
      <c r="X64" s="65"/>
      <c r="Y64" s="76"/>
      <c r="Z64" s="65" t="s">
        <v>398</v>
      </c>
      <c r="AA64" s="77"/>
      <c r="AB64" s="77" t="s">
        <v>131</v>
      </c>
      <c r="AC64" s="65"/>
      <c r="AD64" s="773">
        <v>0.97916666666666663</v>
      </c>
      <c r="AE64" s="749">
        <v>0</v>
      </c>
      <c r="AF64" s="77"/>
      <c r="AG64" s="65" t="s">
        <v>396</v>
      </c>
      <c r="AH64" s="15" t="s">
        <v>132</v>
      </c>
      <c r="AI64" s="131" t="s">
        <v>244</v>
      </c>
      <c r="AJ64" s="45"/>
      <c r="AL64" s="699" t="s">
        <v>399</v>
      </c>
      <c r="AM64" s="706" t="s">
        <v>146</v>
      </c>
      <c r="AN64" s="706" t="s">
        <v>178</v>
      </c>
      <c r="AO64" s="706" t="s">
        <v>178</v>
      </c>
      <c r="AP64" s="706" t="s">
        <v>178</v>
      </c>
      <c r="AQ64" s="706" t="s">
        <v>178</v>
      </c>
      <c r="AR64" s="706" t="s">
        <v>178</v>
      </c>
      <c r="AS64" s="706" t="s">
        <v>178</v>
      </c>
      <c r="AV64" s="1052">
        <v>6.9444444444444441E-3</v>
      </c>
    </row>
    <row r="65" spans="1:48" ht="51" customHeight="1">
      <c r="A65" s="20">
        <v>32</v>
      </c>
      <c r="B65" s="95"/>
      <c r="C65" s="33" t="s">
        <v>122</v>
      </c>
      <c r="D65" s="33"/>
      <c r="E65" s="33" t="s">
        <v>122</v>
      </c>
      <c r="F65" s="19"/>
      <c r="G65" s="1018" t="s">
        <v>400</v>
      </c>
      <c r="H65" s="65" t="s">
        <v>125</v>
      </c>
      <c r="I65" s="65"/>
      <c r="J65" s="63" t="s">
        <v>136</v>
      </c>
      <c r="K65" s="198" t="s">
        <v>401</v>
      </c>
      <c r="L65" s="108" t="s">
        <v>402</v>
      </c>
      <c r="M65" s="618"/>
      <c r="N65" s="60">
        <v>0.97916666666666663</v>
      </c>
      <c r="O65" s="199">
        <f>N65 + TIME(2, 0, 0)</f>
        <v>1.0625</v>
      </c>
      <c r="P65" s="99">
        <f>N65+(Summary!$C$30)/24</f>
        <v>1.375</v>
      </c>
      <c r="Q65" s="99" t="s">
        <v>178</v>
      </c>
      <c r="R65" s="100" t="s">
        <v>213</v>
      </c>
      <c r="S65" s="65" t="s">
        <v>214</v>
      </c>
      <c r="T65" s="102" t="s">
        <v>130</v>
      </c>
      <c r="U65" s="219"/>
      <c r="V65" s="65"/>
      <c r="W65" s="68"/>
      <c r="X65" s="65"/>
      <c r="Y65" s="76"/>
      <c r="Z65" s="65" t="s">
        <v>403</v>
      </c>
      <c r="AA65" s="77"/>
      <c r="AB65" s="77" t="s">
        <v>131</v>
      </c>
      <c r="AC65" s="63"/>
      <c r="AD65" s="771">
        <v>0.99930555555555556</v>
      </c>
      <c r="AE65" s="749">
        <v>5.2083333333333336E-2</v>
      </c>
      <c r="AF65" s="765"/>
      <c r="AG65" s="33" t="s">
        <v>404</v>
      </c>
      <c r="AH65" s="15" t="s">
        <v>132</v>
      </c>
      <c r="AI65" s="165" t="s">
        <v>60</v>
      </c>
      <c r="AJ65" s="90" t="s">
        <v>405</v>
      </c>
      <c r="AL65" s="1019" t="s">
        <v>406</v>
      </c>
      <c r="AM65" s="706" t="s">
        <v>146</v>
      </c>
      <c r="AN65" s="706" t="s">
        <v>178</v>
      </c>
      <c r="AO65" s="706" t="s">
        <v>178</v>
      </c>
      <c r="AP65" s="706" t="s">
        <v>178</v>
      </c>
      <c r="AQ65" s="706" t="s">
        <v>178</v>
      </c>
      <c r="AR65" s="706" t="s">
        <v>178</v>
      </c>
      <c r="AS65" s="706" t="s">
        <v>178</v>
      </c>
      <c r="AV65" s="1052">
        <v>5.9027777777777776E-2</v>
      </c>
    </row>
    <row r="66" spans="1:48" ht="51" customHeight="1">
      <c r="A66" s="20">
        <v>41</v>
      </c>
      <c r="B66" s="95"/>
      <c r="C66" s="33" t="s">
        <v>122</v>
      </c>
      <c r="D66" s="33"/>
      <c r="E66" s="33" t="s">
        <v>122</v>
      </c>
      <c r="F66" s="249"/>
      <c r="G66" s="63" t="s">
        <v>407</v>
      </c>
      <c r="H66" s="65"/>
      <c r="I66" s="65"/>
      <c r="J66" s="204" t="s">
        <v>408</v>
      </c>
      <c r="K66" s="250" t="s">
        <v>409</v>
      </c>
      <c r="L66" s="24" t="s">
        <v>410</v>
      </c>
      <c r="M66" s="613"/>
      <c r="N66" s="59">
        <v>0.33333333333333331</v>
      </c>
      <c r="O66" s="199">
        <v>0.4375</v>
      </c>
      <c r="P66" s="99"/>
      <c r="Q66" s="99"/>
      <c r="R66" s="100" t="s">
        <v>213</v>
      </c>
      <c r="S66" s="65"/>
      <c r="T66" s="102" t="s">
        <v>130</v>
      </c>
      <c r="U66" s="219"/>
      <c r="V66" s="65"/>
      <c r="W66" s="68"/>
      <c r="X66" s="65"/>
      <c r="Y66" s="76"/>
      <c r="Z66" s="65"/>
      <c r="AA66" s="77"/>
      <c r="AB66" s="77"/>
      <c r="AC66" s="63"/>
      <c r="AD66" s="199">
        <v>0.4375</v>
      </c>
      <c r="AE66" s="199">
        <v>0.4375</v>
      </c>
      <c r="AF66" s="33"/>
      <c r="AG66" s="33"/>
      <c r="AH66" s="15"/>
      <c r="AI66" s="130" t="s">
        <v>411</v>
      </c>
      <c r="AJ66" s="90"/>
    </row>
    <row r="67" spans="1:48" ht="51" customHeight="1">
      <c r="A67" s="20">
        <v>42.1</v>
      </c>
      <c r="B67" s="95"/>
      <c r="C67" s="33" t="s">
        <v>122</v>
      </c>
      <c r="D67" s="33"/>
      <c r="E67" s="33" t="s">
        <v>122</v>
      </c>
      <c r="F67" s="249"/>
      <c r="G67" s="63" t="s">
        <v>412</v>
      </c>
      <c r="H67" s="65"/>
      <c r="I67" s="65"/>
      <c r="J67" s="204" t="s">
        <v>408</v>
      </c>
      <c r="K67" s="250" t="s">
        <v>413</v>
      </c>
      <c r="L67" s="77" t="s">
        <v>414</v>
      </c>
      <c r="M67" s="613"/>
      <c r="N67" s="59">
        <v>0.33333333333333331</v>
      </c>
      <c r="O67" s="199">
        <v>0.4375</v>
      </c>
      <c r="P67" s="99"/>
      <c r="Q67" s="99"/>
      <c r="R67" s="100" t="s">
        <v>213</v>
      </c>
      <c r="S67" s="65"/>
      <c r="T67" s="112" t="s">
        <v>415</v>
      </c>
      <c r="U67" s="219"/>
      <c r="V67" s="65"/>
      <c r="W67" s="68"/>
      <c r="X67" s="65"/>
      <c r="Y67" s="76"/>
      <c r="Z67" s="65"/>
      <c r="AA67" s="77"/>
      <c r="AB67" s="77"/>
      <c r="AC67" s="63"/>
      <c r="AD67" s="199">
        <v>0.4375</v>
      </c>
      <c r="AE67" s="199">
        <v>0.4375</v>
      </c>
      <c r="AF67" s="33"/>
      <c r="AG67" s="33"/>
      <c r="AH67" s="15"/>
      <c r="AI67" s="130" t="s">
        <v>416</v>
      </c>
      <c r="AJ67" s="90"/>
    </row>
    <row r="68" spans="1:48" ht="51" customHeight="1">
      <c r="A68" s="20">
        <v>42.2</v>
      </c>
      <c r="B68" s="95"/>
      <c r="C68" s="33" t="s">
        <v>122</v>
      </c>
      <c r="D68" s="33"/>
      <c r="E68" s="33" t="s">
        <v>122</v>
      </c>
      <c r="F68" s="249"/>
      <c r="G68" s="63" t="s">
        <v>412</v>
      </c>
      <c r="H68" s="65"/>
      <c r="I68" s="65"/>
      <c r="J68" s="204" t="s">
        <v>408</v>
      </c>
      <c r="K68" s="250" t="s">
        <v>413</v>
      </c>
      <c r="L68" s="77" t="s">
        <v>414</v>
      </c>
      <c r="M68" s="613"/>
      <c r="N68" s="59">
        <v>0.8125</v>
      </c>
      <c r="O68" s="199">
        <v>0.91666666666666663</v>
      </c>
      <c r="P68" s="99"/>
      <c r="Q68" s="99"/>
      <c r="R68" s="100" t="s">
        <v>213</v>
      </c>
      <c r="S68" s="65"/>
      <c r="T68" s="112" t="s">
        <v>417</v>
      </c>
      <c r="U68" s="219"/>
      <c r="V68" s="65"/>
      <c r="W68" s="68"/>
      <c r="X68" s="65"/>
      <c r="Y68" s="76"/>
      <c r="Z68" s="65"/>
      <c r="AA68" s="77"/>
      <c r="AB68" s="77"/>
      <c r="AC68" s="63"/>
      <c r="AD68" s="199">
        <v>0.4375</v>
      </c>
      <c r="AE68" s="199">
        <v>0.4375</v>
      </c>
      <c r="AF68" s="33"/>
      <c r="AG68" s="33"/>
      <c r="AH68" s="15"/>
      <c r="AI68" s="130" t="s">
        <v>416</v>
      </c>
      <c r="AJ68" s="90"/>
    </row>
    <row r="69" spans="1:48" ht="51" customHeight="1">
      <c r="A69" s="20">
        <v>42</v>
      </c>
      <c r="B69" s="95"/>
      <c r="C69" s="33" t="s">
        <v>122</v>
      </c>
      <c r="D69" s="33"/>
      <c r="E69" s="33" t="s">
        <v>122</v>
      </c>
      <c r="F69" s="249"/>
      <c r="G69" s="63" t="s">
        <v>418</v>
      </c>
      <c r="H69" s="65"/>
      <c r="I69" s="65"/>
      <c r="J69" s="204" t="s">
        <v>408</v>
      </c>
      <c r="K69" s="250" t="s">
        <v>419</v>
      </c>
      <c r="L69" s="77" t="s">
        <v>420</v>
      </c>
      <c r="M69" s="613"/>
      <c r="N69" s="59">
        <v>0.33333333333333331</v>
      </c>
      <c r="O69" s="199">
        <v>0.4375</v>
      </c>
      <c r="P69" s="99"/>
      <c r="Q69" s="99"/>
      <c r="R69" s="100" t="s">
        <v>213</v>
      </c>
      <c r="S69" s="65"/>
      <c r="T69" s="102" t="s">
        <v>130</v>
      </c>
      <c r="U69" s="219"/>
      <c r="V69" s="65"/>
      <c r="W69" s="68"/>
      <c r="X69" s="65"/>
      <c r="Y69" s="76"/>
      <c r="Z69" s="65"/>
      <c r="AA69" s="77"/>
      <c r="AB69" s="77"/>
      <c r="AC69" s="63"/>
      <c r="AD69" s="199">
        <v>0.4375</v>
      </c>
      <c r="AE69" s="199">
        <v>0.4375</v>
      </c>
      <c r="AF69" s="33"/>
      <c r="AG69" s="33"/>
      <c r="AH69" s="15"/>
      <c r="AI69" s="130" t="s">
        <v>421</v>
      </c>
      <c r="AJ69" s="90"/>
    </row>
    <row r="70" spans="1:48" ht="51" customHeight="1">
      <c r="A70" s="20">
        <v>43</v>
      </c>
      <c r="B70" s="95"/>
      <c r="C70" s="33" t="s">
        <v>122</v>
      </c>
      <c r="D70" s="33"/>
      <c r="E70" s="33" t="s">
        <v>122</v>
      </c>
      <c r="F70" s="249"/>
      <c r="G70" s="63" t="s">
        <v>422</v>
      </c>
      <c r="H70" s="65"/>
      <c r="I70" s="65"/>
      <c r="J70" s="204" t="s">
        <v>408</v>
      </c>
      <c r="K70" s="250" t="s">
        <v>423</v>
      </c>
      <c r="L70" s="77" t="s">
        <v>424</v>
      </c>
      <c r="M70" s="613"/>
      <c r="N70" s="59">
        <v>0.47916666666666669</v>
      </c>
      <c r="O70" s="199"/>
      <c r="P70" s="99"/>
      <c r="Q70" s="99"/>
      <c r="R70" s="100" t="s">
        <v>213</v>
      </c>
      <c r="S70" s="65"/>
      <c r="T70" s="102" t="s">
        <v>130</v>
      </c>
      <c r="U70" s="219"/>
      <c r="V70" s="65"/>
      <c r="W70" s="68"/>
      <c r="X70" s="65"/>
      <c r="Y70" s="76"/>
      <c r="Z70" s="65"/>
      <c r="AA70" s="77"/>
      <c r="AB70" s="77"/>
      <c r="AC70" s="63"/>
      <c r="AD70" s="199">
        <v>0.4375</v>
      </c>
      <c r="AE70" s="199">
        <v>0.4375</v>
      </c>
      <c r="AF70" s="33"/>
      <c r="AG70" s="33"/>
      <c r="AH70" s="15"/>
      <c r="AI70" s="130" t="s">
        <v>425</v>
      </c>
      <c r="AJ70" s="90"/>
    </row>
    <row r="71" spans="1:48" ht="51" customHeight="1">
      <c r="A71" s="20">
        <v>44</v>
      </c>
      <c r="B71" s="95"/>
      <c r="C71" s="33" t="s">
        <v>122</v>
      </c>
      <c r="D71" s="33"/>
      <c r="E71" s="33" t="s">
        <v>122</v>
      </c>
      <c r="F71" s="249"/>
      <c r="G71" s="63" t="s">
        <v>426</v>
      </c>
      <c r="H71" s="65"/>
      <c r="I71" s="65"/>
      <c r="J71" s="204" t="s">
        <v>408</v>
      </c>
      <c r="K71" s="250" t="s">
        <v>427</v>
      </c>
      <c r="L71" s="77" t="s">
        <v>428</v>
      </c>
      <c r="M71" s="613"/>
      <c r="N71" s="59">
        <v>0.33333333333333331</v>
      </c>
      <c r="O71" s="199">
        <v>0.4375</v>
      </c>
      <c r="P71" s="99"/>
      <c r="Q71" s="99"/>
      <c r="R71" s="100" t="s">
        <v>213</v>
      </c>
      <c r="S71" s="65"/>
      <c r="T71" s="102" t="s">
        <v>151</v>
      </c>
      <c r="U71" s="219"/>
      <c r="V71" s="65"/>
      <c r="W71" s="68"/>
      <c r="X71" s="65"/>
      <c r="Y71" s="76"/>
      <c r="Z71" s="65"/>
      <c r="AA71" s="77"/>
      <c r="AB71" s="77"/>
      <c r="AC71" s="63"/>
      <c r="AD71" s="199">
        <v>0.4375</v>
      </c>
      <c r="AE71" s="199">
        <v>0.4375</v>
      </c>
      <c r="AF71" s="33"/>
      <c r="AG71" s="33"/>
      <c r="AH71" s="15"/>
      <c r="AI71" s="130" t="s">
        <v>429</v>
      </c>
      <c r="AJ71" s="90"/>
    </row>
    <row r="72" spans="1:48" ht="51" customHeight="1">
      <c r="A72" s="20">
        <v>45</v>
      </c>
      <c r="B72" s="95"/>
      <c r="C72" s="33" t="s">
        <v>122</v>
      </c>
      <c r="D72" s="33"/>
      <c r="E72" s="33" t="s">
        <v>122</v>
      </c>
      <c r="F72" s="249"/>
      <c r="G72" s="63" t="s">
        <v>430</v>
      </c>
      <c r="H72" s="65"/>
      <c r="I72" s="65"/>
      <c r="J72" s="204" t="s">
        <v>408</v>
      </c>
      <c r="K72" s="250" t="s">
        <v>431</v>
      </c>
      <c r="L72" s="77" t="s">
        <v>432</v>
      </c>
      <c r="M72" s="613"/>
      <c r="N72" s="59">
        <v>0.83333333333333337</v>
      </c>
      <c r="O72" s="199"/>
      <c r="P72" s="99"/>
      <c r="Q72" s="99" t="s">
        <v>178</v>
      </c>
      <c r="R72" s="100" t="s">
        <v>213</v>
      </c>
      <c r="S72" s="65"/>
      <c r="T72" s="102" t="s">
        <v>130</v>
      </c>
      <c r="U72" s="219"/>
      <c r="V72" s="65"/>
      <c r="W72" s="68"/>
      <c r="X72" s="65"/>
      <c r="Y72" s="76"/>
      <c r="Z72" s="65"/>
      <c r="AA72" s="77"/>
      <c r="AB72" s="77"/>
      <c r="AC72" s="63"/>
      <c r="AD72" s="199">
        <v>0.4375</v>
      </c>
      <c r="AE72" s="199">
        <v>0.4375</v>
      </c>
      <c r="AF72" s="33"/>
      <c r="AG72" s="33"/>
      <c r="AH72" s="15"/>
      <c r="AI72" s="130" t="s">
        <v>433</v>
      </c>
      <c r="AJ72" s="90"/>
    </row>
    <row r="73" spans="1:48" ht="51" customHeight="1">
      <c r="A73" s="20">
        <v>46</v>
      </c>
      <c r="B73" s="95"/>
      <c r="C73" s="33" t="s">
        <v>122</v>
      </c>
      <c r="D73" s="33"/>
      <c r="E73" s="33" t="s">
        <v>122</v>
      </c>
      <c r="F73" s="249"/>
      <c r="G73" s="63" t="s">
        <v>434</v>
      </c>
      <c r="H73" s="65"/>
      <c r="I73" s="65"/>
      <c r="J73" s="204" t="s">
        <v>408</v>
      </c>
      <c r="K73" s="250" t="s">
        <v>435</v>
      </c>
      <c r="L73" s="77" t="s">
        <v>436</v>
      </c>
      <c r="M73" s="613"/>
      <c r="N73" s="59">
        <v>0.95833333333333337</v>
      </c>
      <c r="O73" s="199"/>
      <c r="P73" s="99"/>
      <c r="Q73" s="99" t="s">
        <v>178</v>
      </c>
      <c r="R73" s="100" t="s">
        <v>213</v>
      </c>
      <c r="S73" s="65"/>
      <c r="T73" s="112" t="s">
        <v>151</v>
      </c>
      <c r="U73" s="219"/>
      <c r="V73" s="65"/>
      <c r="W73" s="68"/>
      <c r="X73" s="65"/>
      <c r="Y73" s="76"/>
      <c r="Z73" s="65"/>
      <c r="AA73" s="77"/>
      <c r="AB73" s="77"/>
      <c r="AC73" s="63"/>
      <c r="AD73" s="199">
        <v>0.4375</v>
      </c>
      <c r="AE73" s="199">
        <v>0.4375</v>
      </c>
      <c r="AF73" s="33"/>
      <c r="AG73" s="33"/>
      <c r="AH73" s="15"/>
      <c r="AI73" s="130" t="s">
        <v>437</v>
      </c>
      <c r="AJ73" s="90"/>
    </row>
    <row r="74" spans="1:48" ht="51" customHeight="1">
      <c r="A74" s="20">
        <v>47</v>
      </c>
      <c r="B74" s="95"/>
      <c r="C74" s="33" t="s">
        <v>122</v>
      </c>
      <c r="D74" s="33"/>
      <c r="E74" s="33" t="s">
        <v>122</v>
      </c>
      <c r="F74" s="249"/>
      <c r="G74" s="63" t="s">
        <v>438</v>
      </c>
      <c r="H74" s="65"/>
      <c r="I74" s="65"/>
      <c r="J74" s="204" t="s">
        <v>408</v>
      </c>
      <c r="K74" s="250" t="s">
        <v>439</v>
      </c>
      <c r="L74" s="77" t="s">
        <v>440</v>
      </c>
      <c r="M74" s="613"/>
      <c r="N74" s="59">
        <v>0.33333333333333331</v>
      </c>
      <c r="O74" s="199">
        <v>0.4375</v>
      </c>
      <c r="P74" s="99"/>
      <c r="Q74" s="99"/>
      <c r="R74" s="100" t="s">
        <v>213</v>
      </c>
      <c r="S74" s="65"/>
      <c r="T74" s="102" t="s">
        <v>130</v>
      </c>
      <c r="U74" s="219"/>
      <c r="V74" s="65"/>
      <c r="W74" s="68"/>
      <c r="X74" s="65"/>
      <c r="Y74" s="76"/>
      <c r="Z74" s="65"/>
      <c r="AA74" s="77"/>
      <c r="AB74" s="77"/>
      <c r="AC74" s="63"/>
      <c r="AD74" s="199">
        <v>0.4375</v>
      </c>
      <c r="AE74" s="199">
        <v>0.4375</v>
      </c>
      <c r="AF74" s="33"/>
      <c r="AG74" s="33"/>
      <c r="AH74" s="15"/>
      <c r="AI74" s="130" t="s">
        <v>441</v>
      </c>
      <c r="AJ74" s="90"/>
    </row>
    <row r="75" spans="1:48" ht="76.5" customHeight="1">
      <c r="A75" s="20">
        <v>48.1</v>
      </c>
      <c r="B75" s="95"/>
      <c r="C75" s="33" t="s">
        <v>122</v>
      </c>
      <c r="D75" s="33"/>
      <c r="E75" s="33" t="s">
        <v>122</v>
      </c>
      <c r="F75" s="249"/>
      <c r="G75" s="63" t="s">
        <v>442</v>
      </c>
      <c r="H75" s="65"/>
      <c r="I75" s="65"/>
      <c r="J75" s="204" t="s">
        <v>408</v>
      </c>
      <c r="K75" s="250" t="s">
        <v>443</v>
      </c>
      <c r="L75" s="77" t="s">
        <v>444</v>
      </c>
      <c r="M75" s="613"/>
      <c r="N75" s="59">
        <v>0.33333333333333331</v>
      </c>
      <c r="O75" s="199">
        <v>0.4375</v>
      </c>
      <c r="P75" s="99"/>
      <c r="Q75" s="99"/>
      <c r="R75" s="100" t="s">
        <v>213</v>
      </c>
      <c r="S75" s="65"/>
      <c r="T75" s="112" t="s">
        <v>415</v>
      </c>
      <c r="U75" s="219"/>
      <c r="V75" s="65"/>
      <c r="W75" s="68"/>
      <c r="X75" s="65"/>
      <c r="Y75" s="76"/>
      <c r="Z75" s="65"/>
      <c r="AA75" s="77"/>
      <c r="AB75" s="77"/>
      <c r="AC75" s="63"/>
      <c r="AD75" s="199">
        <v>0.4375</v>
      </c>
      <c r="AE75" s="199">
        <v>0.4375</v>
      </c>
      <c r="AF75" s="33"/>
      <c r="AG75" s="33"/>
      <c r="AH75" s="15"/>
      <c r="AI75" s="130" t="s">
        <v>445</v>
      </c>
      <c r="AJ75" s="90"/>
    </row>
    <row r="76" spans="1:48" ht="76.5" customHeight="1">
      <c r="A76" s="20">
        <v>48.2</v>
      </c>
      <c r="B76" s="95"/>
      <c r="C76" s="33" t="s">
        <v>122</v>
      </c>
      <c r="D76" s="33"/>
      <c r="E76" s="33" t="s">
        <v>122</v>
      </c>
      <c r="F76" s="249"/>
      <c r="G76" s="63" t="s">
        <v>442</v>
      </c>
      <c r="H76" s="65"/>
      <c r="I76" s="65"/>
      <c r="J76" s="204" t="s">
        <v>408</v>
      </c>
      <c r="K76" s="250" t="s">
        <v>443</v>
      </c>
      <c r="L76" s="77" t="s">
        <v>444</v>
      </c>
      <c r="M76" s="613"/>
      <c r="N76" s="59">
        <v>0.54166666666666663</v>
      </c>
      <c r="O76" s="199">
        <v>0.64583333333333337</v>
      </c>
      <c r="P76" s="99"/>
      <c r="Q76" s="99"/>
      <c r="R76" s="100" t="s">
        <v>213</v>
      </c>
      <c r="S76" s="65"/>
      <c r="T76" s="112" t="s">
        <v>417</v>
      </c>
      <c r="U76" s="219"/>
      <c r="V76" s="65"/>
      <c r="W76" s="68"/>
      <c r="X76" s="65"/>
      <c r="Y76" s="76"/>
      <c r="Z76" s="65"/>
      <c r="AA76" s="77"/>
      <c r="AB76" s="77"/>
      <c r="AC76" s="63"/>
      <c r="AD76" s="199">
        <v>0.4375</v>
      </c>
      <c r="AE76" s="199">
        <v>0.4375</v>
      </c>
      <c r="AF76" s="33"/>
      <c r="AG76" s="33"/>
      <c r="AH76" s="15"/>
      <c r="AI76" s="130" t="s">
        <v>445</v>
      </c>
      <c r="AJ76" s="90"/>
    </row>
    <row r="77" spans="1:48" s="494" customFormat="1" ht="25.5" customHeight="1">
      <c r="A77" s="20">
        <v>49</v>
      </c>
      <c r="B77" s="95"/>
      <c r="C77" s="33" t="s">
        <v>122</v>
      </c>
      <c r="D77" s="33"/>
      <c r="E77" s="33" t="s">
        <v>122</v>
      </c>
      <c r="F77" s="249"/>
      <c r="G77" s="63" t="s">
        <v>446</v>
      </c>
      <c r="H77" s="65"/>
      <c r="I77" s="65"/>
      <c r="J77" s="204" t="s">
        <v>408</v>
      </c>
      <c r="K77" s="250" t="s">
        <v>378</v>
      </c>
      <c r="L77" s="77" t="s">
        <v>447</v>
      </c>
      <c r="M77" s="613"/>
      <c r="N77" s="59">
        <v>0.33333333333333331</v>
      </c>
      <c r="O77" s="199">
        <v>0.4375</v>
      </c>
      <c r="P77" s="99"/>
      <c r="Q77" s="99"/>
      <c r="R77" s="100" t="s">
        <v>213</v>
      </c>
      <c r="S77" s="65"/>
      <c r="T77" s="102" t="s">
        <v>130</v>
      </c>
      <c r="U77" s="219"/>
      <c r="V77" s="65"/>
      <c r="W77" s="68"/>
      <c r="X77" s="65"/>
      <c r="Y77" s="76"/>
      <c r="Z77" s="65"/>
      <c r="AA77" s="77"/>
      <c r="AB77" s="77"/>
      <c r="AC77" s="63"/>
      <c r="AD77" s="199">
        <v>0.4375</v>
      </c>
      <c r="AE77" s="199">
        <v>0.4375</v>
      </c>
      <c r="AF77" s="33"/>
      <c r="AG77" s="33"/>
      <c r="AH77" s="15"/>
      <c r="AI77" s="131" t="s">
        <v>448</v>
      </c>
      <c r="AJ77" s="90"/>
      <c r="AK77" s="40"/>
    </row>
    <row r="78" spans="1:48" s="494" customFormat="1" ht="15" customHeight="1">
      <c r="A78" s="20">
        <v>50</v>
      </c>
      <c r="B78" s="95"/>
      <c r="C78" s="33" t="s">
        <v>122</v>
      </c>
      <c r="D78" s="33"/>
      <c r="E78" s="33" t="s">
        <v>122</v>
      </c>
      <c r="F78" s="249"/>
      <c r="G78" s="63" t="s">
        <v>449</v>
      </c>
      <c r="H78" s="65"/>
      <c r="I78" s="65"/>
      <c r="J78" s="204" t="s">
        <v>408</v>
      </c>
      <c r="K78" s="250" t="s">
        <v>450</v>
      </c>
      <c r="L78" s="77" t="s">
        <v>451</v>
      </c>
      <c r="M78" s="613"/>
      <c r="N78" s="59">
        <v>0.33333333333333331</v>
      </c>
      <c r="O78" s="199">
        <v>0.4375</v>
      </c>
      <c r="P78" s="99"/>
      <c r="Q78" s="99"/>
      <c r="R78" s="100" t="s">
        <v>213</v>
      </c>
      <c r="S78" s="65"/>
      <c r="T78" s="102" t="s">
        <v>151</v>
      </c>
      <c r="U78" s="219"/>
      <c r="V78" s="65"/>
      <c r="W78" s="68"/>
      <c r="X78" s="65"/>
      <c r="Y78" s="76"/>
      <c r="Z78" s="65"/>
      <c r="AA78" s="77"/>
      <c r="AB78" s="77"/>
      <c r="AC78" s="63"/>
      <c r="AD78" s="199">
        <v>0.4375</v>
      </c>
      <c r="AE78" s="199">
        <v>0.4375</v>
      </c>
      <c r="AF78" s="33"/>
      <c r="AG78" s="33"/>
      <c r="AH78" s="15"/>
      <c r="AI78" s="130" t="s">
        <v>452</v>
      </c>
      <c r="AJ78" s="90"/>
      <c r="AK78" s="40"/>
    </row>
    <row r="79" spans="1:48" s="494" customFormat="1" ht="38.25">
      <c r="A79" s="14" t="s">
        <v>453</v>
      </c>
      <c r="B79" s="93"/>
      <c r="C79" s="80"/>
      <c r="D79" s="80"/>
      <c r="E79" s="80"/>
      <c r="F79" s="80"/>
      <c r="G79" s="80"/>
      <c r="H79" s="80"/>
      <c r="I79" s="80"/>
      <c r="J79" s="80"/>
      <c r="K79" s="54"/>
      <c r="L79" s="80"/>
      <c r="M79" s="212"/>
      <c r="N79" s="58"/>
      <c r="O79" s="603"/>
      <c r="P79" s="80"/>
      <c r="Q79" s="80"/>
      <c r="R79" s="80"/>
      <c r="S79" s="80"/>
      <c r="T79" s="205"/>
      <c r="U79" s="218"/>
      <c r="V79" s="81"/>
      <c r="W79" s="81"/>
      <c r="X79" s="81"/>
      <c r="Y79" s="212"/>
      <c r="Z79" s="81"/>
      <c r="AA79" s="215"/>
      <c r="AB79" s="215"/>
      <c r="AC79" s="81"/>
      <c r="AD79" s="58"/>
      <c r="AE79" s="713"/>
      <c r="AF79" s="81"/>
      <c r="AG79" s="81"/>
      <c r="AH79" s="15" t="s">
        <v>132</v>
      </c>
      <c r="AI79" s="130" t="s">
        <v>228</v>
      </c>
      <c r="AJ79" s="15"/>
      <c r="AK79" s="15"/>
    </row>
    <row r="80" spans="1:48" s="494" customFormat="1" ht="63.75">
      <c r="A80" s="469">
        <v>24</v>
      </c>
      <c r="B80" s="487">
        <v>23</v>
      </c>
      <c r="C80" s="472" t="s">
        <v>288</v>
      </c>
      <c r="D80" s="472"/>
      <c r="E80" s="472" t="s">
        <v>289</v>
      </c>
      <c r="F80" s="473" t="s">
        <v>24</v>
      </c>
      <c r="G80" s="474" t="s">
        <v>454</v>
      </c>
      <c r="H80" s="471" t="s">
        <v>125</v>
      </c>
      <c r="I80" s="471"/>
      <c r="J80" s="474" t="s">
        <v>455</v>
      </c>
      <c r="K80" s="488"/>
      <c r="L80" s="471"/>
      <c r="M80" s="612"/>
      <c r="N80" s="625"/>
      <c r="O80" s="476"/>
      <c r="P80" s="478"/>
      <c r="Q80" s="478" t="s">
        <v>178</v>
      </c>
      <c r="R80" s="489"/>
      <c r="S80" s="490"/>
      <c r="T80" s="479" t="s">
        <v>130</v>
      </c>
      <c r="U80" s="491"/>
      <c r="V80" s="492" t="s">
        <v>456</v>
      </c>
      <c r="W80" s="473" t="s">
        <v>457</v>
      </c>
      <c r="X80" s="471"/>
      <c r="Y80" s="480"/>
      <c r="Z80" s="471" t="s">
        <v>458</v>
      </c>
      <c r="AA80" s="481"/>
      <c r="AB80" s="481" t="s">
        <v>131</v>
      </c>
      <c r="AC80" s="474"/>
      <c r="AD80" s="493"/>
      <c r="AE80" s="714"/>
      <c r="AF80" s="472"/>
      <c r="AG80" s="472"/>
      <c r="AH80" s="482"/>
      <c r="AI80" s="483"/>
      <c r="AJ80" s="484"/>
      <c r="AK80" s="485"/>
    </row>
    <row r="81" spans="1:48" s="468" customFormat="1" ht="38.25">
      <c r="A81" s="469">
        <v>25</v>
      </c>
      <c r="B81" s="487">
        <v>24</v>
      </c>
      <c r="C81" s="472" t="s">
        <v>288</v>
      </c>
      <c r="D81" s="472"/>
      <c r="E81" s="472" t="s">
        <v>289</v>
      </c>
      <c r="F81" s="473" t="s">
        <v>24</v>
      </c>
      <c r="G81" s="474" t="s">
        <v>459</v>
      </c>
      <c r="H81" s="471" t="s">
        <v>125</v>
      </c>
      <c r="I81" s="471"/>
      <c r="J81" s="474" t="s">
        <v>296</v>
      </c>
      <c r="K81" s="488"/>
      <c r="L81" s="471"/>
      <c r="M81" s="612"/>
      <c r="N81" s="625"/>
      <c r="O81" s="476"/>
      <c r="P81" s="478"/>
      <c r="Q81" s="478" t="s">
        <v>178</v>
      </c>
      <c r="R81" s="489"/>
      <c r="S81" s="490"/>
      <c r="T81" s="479" t="s">
        <v>130</v>
      </c>
      <c r="U81" s="477"/>
      <c r="V81" s="492" t="s">
        <v>460</v>
      </c>
      <c r="W81" s="473" t="s">
        <v>461</v>
      </c>
      <c r="X81" s="471"/>
      <c r="Y81" s="480"/>
      <c r="Z81" s="471"/>
      <c r="AA81" s="481"/>
      <c r="AB81" s="481" t="s">
        <v>131</v>
      </c>
      <c r="AC81" s="474"/>
      <c r="AD81" s="493"/>
      <c r="AE81" s="714"/>
      <c r="AF81" s="472"/>
      <c r="AG81" s="472"/>
      <c r="AH81" s="482"/>
      <c r="AI81" s="483"/>
      <c r="AJ81" s="484"/>
      <c r="AK81" s="485"/>
      <c r="AL81" s="494"/>
      <c r="AM81" s="494"/>
      <c r="AN81" s="494"/>
      <c r="AO81" s="494"/>
      <c r="AP81" s="494"/>
      <c r="AQ81" s="494"/>
      <c r="AR81" s="494"/>
      <c r="AS81" s="494"/>
      <c r="AT81" s="494"/>
      <c r="AU81" s="494"/>
      <c r="AV81" s="494"/>
    </row>
    <row r="82" spans="1:48" s="468" customFormat="1" ht="25.5">
      <c r="A82" s="469">
        <v>26</v>
      </c>
      <c r="B82" s="487">
        <v>25</v>
      </c>
      <c r="C82" s="472" t="s">
        <v>288</v>
      </c>
      <c r="D82" s="472"/>
      <c r="E82" s="472" t="s">
        <v>289</v>
      </c>
      <c r="F82" s="482" t="s">
        <v>24</v>
      </c>
      <c r="G82" s="474" t="s">
        <v>462</v>
      </c>
      <c r="H82" s="471" t="s">
        <v>125</v>
      </c>
      <c r="I82" s="471"/>
      <c r="J82" s="474" t="s">
        <v>463</v>
      </c>
      <c r="K82" s="488"/>
      <c r="L82" s="471"/>
      <c r="M82" s="612"/>
      <c r="N82" s="625"/>
      <c r="O82" s="476"/>
      <c r="P82" s="478"/>
      <c r="Q82" s="478" t="s">
        <v>178</v>
      </c>
      <c r="R82" s="489"/>
      <c r="S82" s="490"/>
      <c r="T82" s="479" t="s">
        <v>130</v>
      </c>
      <c r="U82" s="477"/>
      <c r="V82" s="492" t="s">
        <v>464</v>
      </c>
      <c r="W82" s="473" t="s">
        <v>465</v>
      </c>
      <c r="X82" s="471"/>
      <c r="Y82" s="480"/>
      <c r="Z82" s="471"/>
      <c r="AA82" s="481"/>
      <c r="AB82" s="481" t="s">
        <v>131</v>
      </c>
      <c r="AC82" s="474"/>
      <c r="AD82" s="493"/>
      <c r="AE82" s="714"/>
      <c r="AF82" s="472"/>
      <c r="AG82" s="472"/>
      <c r="AH82" s="482"/>
      <c r="AI82" s="483"/>
      <c r="AJ82" s="484"/>
      <c r="AK82" s="485"/>
      <c r="AL82" s="494"/>
      <c r="AM82" s="494"/>
      <c r="AN82" s="494"/>
      <c r="AO82" s="494"/>
      <c r="AP82" s="494"/>
      <c r="AQ82" s="494"/>
      <c r="AR82" s="494"/>
      <c r="AS82" s="494"/>
      <c r="AT82" s="494"/>
      <c r="AU82" s="494"/>
      <c r="AV82" s="494"/>
    </row>
    <row r="83" spans="1:48" s="468" customFormat="1" ht="25.5">
      <c r="A83" s="469">
        <v>27</v>
      </c>
      <c r="B83" s="487">
        <v>26</v>
      </c>
      <c r="C83" s="472" t="s">
        <v>288</v>
      </c>
      <c r="D83" s="472"/>
      <c r="E83" s="472" t="s">
        <v>289</v>
      </c>
      <c r="F83" s="482" t="s">
        <v>24</v>
      </c>
      <c r="G83" s="474" t="s">
        <v>466</v>
      </c>
      <c r="H83" s="471" t="s">
        <v>125</v>
      </c>
      <c r="I83" s="495"/>
      <c r="J83" s="496" t="s">
        <v>467</v>
      </c>
      <c r="K83" s="488"/>
      <c r="L83" s="497"/>
      <c r="M83" s="612"/>
      <c r="N83" s="625"/>
      <c r="O83" s="476"/>
      <c r="P83" s="478"/>
      <c r="Q83" s="478" t="s">
        <v>178</v>
      </c>
      <c r="R83" s="489"/>
      <c r="S83" s="490"/>
      <c r="T83" s="479" t="s">
        <v>130</v>
      </c>
      <c r="U83" s="477"/>
      <c r="V83" s="492" t="s">
        <v>464</v>
      </c>
      <c r="W83" s="473" t="s">
        <v>468</v>
      </c>
      <c r="X83" s="471"/>
      <c r="Y83" s="480"/>
      <c r="Z83" s="471"/>
      <c r="AA83" s="481"/>
      <c r="AB83" s="481"/>
      <c r="AC83" s="474"/>
      <c r="AD83" s="493"/>
      <c r="AE83" s="714"/>
      <c r="AF83" s="472"/>
      <c r="AG83" s="472"/>
      <c r="AH83" s="482"/>
      <c r="AI83" s="483"/>
      <c r="AJ83" s="484"/>
      <c r="AK83" s="485"/>
      <c r="AL83" s="494"/>
      <c r="AM83" s="494"/>
      <c r="AN83" s="494"/>
      <c r="AO83" s="494"/>
      <c r="AP83" s="494"/>
      <c r="AQ83" s="494"/>
      <c r="AR83" s="494"/>
      <c r="AS83" s="494"/>
      <c r="AT83" s="494"/>
      <c r="AU83" s="494"/>
      <c r="AV83" s="494"/>
    </row>
    <row r="84" spans="1:48" s="468" customFormat="1" ht="15" customHeight="1">
      <c r="A84" s="469">
        <v>28</v>
      </c>
      <c r="B84" s="487">
        <v>27</v>
      </c>
      <c r="C84" s="472" t="s">
        <v>288</v>
      </c>
      <c r="D84" s="472"/>
      <c r="E84" s="472" t="s">
        <v>289</v>
      </c>
      <c r="F84" s="473" t="s">
        <v>24</v>
      </c>
      <c r="G84" s="1009" t="s">
        <v>469</v>
      </c>
      <c r="H84" s="471" t="s">
        <v>125</v>
      </c>
      <c r="I84" s="471"/>
      <c r="J84" s="474" t="s">
        <v>470</v>
      </c>
      <c r="K84" s="488"/>
      <c r="L84" s="471"/>
      <c r="M84" s="612"/>
      <c r="N84" s="625"/>
      <c r="O84" s="476"/>
      <c r="P84" s="478"/>
      <c r="Q84" s="478" t="s">
        <v>178</v>
      </c>
      <c r="R84" s="489"/>
      <c r="S84" s="490"/>
      <c r="T84" s="479" t="s">
        <v>130</v>
      </c>
      <c r="U84" s="477"/>
      <c r="V84" s="492" t="s">
        <v>471</v>
      </c>
      <c r="W84" s="473" t="s">
        <v>472</v>
      </c>
      <c r="X84" s="471"/>
      <c r="Y84" s="480"/>
      <c r="Z84" s="471"/>
      <c r="AA84" s="481"/>
      <c r="AB84" s="481"/>
      <c r="AC84" s="474"/>
      <c r="AD84" s="493"/>
      <c r="AE84" s="714"/>
      <c r="AF84" s="472"/>
      <c r="AG84" s="472"/>
      <c r="AH84" s="482"/>
      <c r="AI84" s="483"/>
      <c r="AJ84" s="484"/>
      <c r="AK84" s="485"/>
      <c r="AL84" s="494"/>
      <c r="AM84" s="494"/>
      <c r="AN84" s="494"/>
      <c r="AO84" s="494"/>
      <c r="AP84" s="494"/>
      <c r="AQ84" s="494"/>
      <c r="AR84" s="494"/>
      <c r="AS84" s="494"/>
      <c r="AT84" s="494"/>
      <c r="AU84" s="494"/>
      <c r="AV84" s="494"/>
    </row>
    <row r="85" spans="1:48" s="468" customFormat="1" ht="25.5">
      <c r="A85" s="469">
        <v>30</v>
      </c>
      <c r="B85" s="498">
        <v>29</v>
      </c>
      <c r="C85" s="499" t="s">
        <v>288</v>
      </c>
      <c r="D85" s="499"/>
      <c r="E85" s="499" t="s">
        <v>289</v>
      </c>
      <c r="F85" s="482" t="s">
        <v>24</v>
      </c>
      <c r="G85" s="501" t="s">
        <v>473</v>
      </c>
      <c r="H85" s="501" t="s">
        <v>125</v>
      </c>
      <c r="I85" s="501"/>
      <c r="J85" s="500" t="s">
        <v>470</v>
      </c>
      <c r="K85" s="488"/>
      <c r="L85" s="471"/>
      <c r="M85" s="612"/>
      <c r="N85" s="625"/>
      <c r="O85" s="476"/>
      <c r="P85" s="478"/>
      <c r="Q85" s="478" t="s">
        <v>178</v>
      </c>
      <c r="R85" s="489"/>
      <c r="S85" s="490"/>
      <c r="T85" s="479" t="s">
        <v>130</v>
      </c>
      <c r="U85" s="502"/>
      <c r="V85" s="503" t="s">
        <v>471</v>
      </c>
      <c r="W85" s="482" t="s">
        <v>474</v>
      </c>
      <c r="X85" s="501"/>
      <c r="Y85" s="501"/>
      <c r="Z85" s="501"/>
      <c r="AA85" s="504"/>
      <c r="AB85" s="504"/>
      <c r="AC85" s="500"/>
      <c r="AD85" s="493"/>
      <c r="AE85" s="493"/>
      <c r="AF85" s="499"/>
      <c r="AG85" s="499"/>
      <c r="AH85" s="482"/>
      <c r="AI85" s="483"/>
      <c r="AJ85" s="484"/>
      <c r="AK85" s="485"/>
    </row>
    <row r="86" spans="1:48" s="468" customFormat="1" ht="25.5">
      <c r="A86" s="469">
        <v>30.1</v>
      </c>
      <c r="B86" s="498">
        <v>30</v>
      </c>
      <c r="C86" s="499" t="s">
        <v>288</v>
      </c>
      <c r="D86" s="499"/>
      <c r="E86" s="499" t="s">
        <v>289</v>
      </c>
      <c r="F86" s="482" t="s">
        <v>24</v>
      </c>
      <c r="G86" s="501" t="s">
        <v>475</v>
      </c>
      <c r="H86" s="501" t="s">
        <v>125</v>
      </c>
      <c r="I86" s="501"/>
      <c r="J86" s="500" t="s">
        <v>470</v>
      </c>
      <c r="K86" s="488"/>
      <c r="L86" s="471"/>
      <c r="M86" s="612"/>
      <c r="N86" s="625"/>
      <c r="O86" s="476"/>
      <c r="P86" s="478"/>
      <c r="Q86" s="478" t="s">
        <v>178</v>
      </c>
      <c r="R86" s="489"/>
      <c r="S86" s="490"/>
      <c r="T86" s="479" t="s">
        <v>130</v>
      </c>
      <c r="U86" s="502"/>
      <c r="V86" s="503" t="s">
        <v>471</v>
      </c>
      <c r="W86" s="1015"/>
      <c r="X86" s="495"/>
      <c r="Y86" s="495"/>
      <c r="Z86" s="495"/>
      <c r="AA86" s="1017"/>
      <c r="AB86" s="1017"/>
      <c r="AC86" s="1016"/>
      <c r="AD86" s="493"/>
      <c r="AE86" s="714"/>
      <c r="AF86" s="1014"/>
      <c r="AG86" s="1014"/>
      <c r="AH86" s="482"/>
      <c r="AI86" s="483"/>
      <c r="AJ86" s="484"/>
      <c r="AK86" s="485"/>
    </row>
    <row r="87" spans="1:48" s="468" customFormat="1" ht="38.25">
      <c r="A87" s="429">
        <v>51</v>
      </c>
      <c r="B87" s="445">
        <v>30</v>
      </c>
      <c r="C87" s="446" t="s">
        <v>288</v>
      </c>
      <c r="D87" s="446"/>
      <c r="E87" s="446" t="s">
        <v>347</v>
      </c>
      <c r="F87" s="447" t="s">
        <v>24</v>
      </c>
      <c r="G87" s="448" t="s">
        <v>476</v>
      </c>
      <c r="H87" s="449" t="s">
        <v>125</v>
      </c>
      <c r="I87" s="449"/>
      <c r="J87" s="448" t="s">
        <v>296</v>
      </c>
      <c r="K87" s="450"/>
      <c r="L87" s="449"/>
      <c r="M87" s="619"/>
      <c r="N87" s="629"/>
      <c r="O87" s="451"/>
      <c r="P87" s="435"/>
      <c r="Q87" s="435" t="s">
        <v>178</v>
      </c>
      <c r="R87" s="436"/>
      <c r="S87" s="433"/>
      <c r="T87" s="452" t="s">
        <v>130</v>
      </c>
      <c r="U87" s="453"/>
      <c r="V87" s="454" t="s">
        <v>460</v>
      </c>
      <c r="W87" s="447" t="s">
        <v>477</v>
      </c>
      <c r="X87" s="449"/>
      <c r="Y87" s="455"/>
      <c r="Z87" s="449"/>
      <c r="AA87" s="440"/>
      <c r="AB87" s="77" t="s">
        <v>131</v>
      </c>
      <c r="AC87" s="79"/>
      <c r="AD87" s="465"/>
      <c r="AE87" s="715"/>
      <c r="AF87" s="446"/>
      <c r="AG87" s="446"/>
      <c r="AH87" s="441"/>
      <c r="AI87" s="442"/>
      <c r="AJ87" s="466"/>
      <c r="AK87" s="467"/>
    </row>
    <row r="88" spans="1:48" s="405" customFormat="1" ht="25.5">
      <c r="A88" s="429">
        <v>52</v>
      </c>
      <c r="B88" s="445">
        <v>51</v>
      </c>
      <c r="C88" s="446" t="s">
        <v>288</v>
      </c>
      <c r="D88" s="446"/>
      <c r="E88" s="446" t="s">
        <v>347</v>
      </c>
      <c r="F88" s="447" t="s">
        <v>24</v>
      </c>
      <c r="G88" s="448" t="s">
        <v>478</v>
      </c>
      <c r="H88" s="449" t="s">
        <v>125</v>
      </c>
      <c r="I88" s="449"/>
      <c r="J88" s="448" t="s">
        <v>463</v>
      </c>
      <c r="K88" s="450"/>
      <c r="L88" s="449"/>
      <c r="M88" s="619"/>
      <c r="N88" s="629"/>
      <c r="O88" s="451"/>
      <c r="P88" s="435"/>
      <c r="Q88" s="435" t="s">
        <v>178</v>
      </c>
      <c r="R88" s="436"/>
      <c r="S88" s="433"/>
      <c r="T88" s="452" t="s">
        <v>130</v>
      </c>
      <c r="U88" s="456"/>
      <c r="V88" s="454" t="s">
        <v>464</v>
      </c>
      <c r="W88" s="447" t="s">
        <v>479</v>
      </c>
      <c r="X88" s="449"/>
      <c r="Y88" s="455"/>
      <c r="Z88" s="449"/>
      <c r="AA88" s="440"/>
      <c r="AB88" s="77" t="s">
        <v>131</v>
      </c>
      <c r="AC88" s="79"/>
      <c r="AD88" s="465"/>
      <c r="AE88" s="715"/>
      <c r="AF88" s="446"/>
      <c r="AG88" s="446"/>
      <c r="AH88" s="441"/>
      <c r="AI88" s="442"/>
      <c r="AJ88" s="466"/>
      <c r="AK88" s="467"/>
      <c r="AL88" s="468"/>
      <c r="AM88" s="468"/>
      <c r="AN88" s="468"/>
      <c r="AO88" s="468"/>
      <c r="AP88" s="468"/>
      <c r="AQ88" s="468"/>
      <c r="AR88" s="468"/>
      <c r="AS88" s="468"/>
      <c r="AT88" s="468"/>
      <c r="AU88" s="468"/>
      <c r="AV88" s="468"/>
    </row>
    <row r="89" spans="1:48" s="1143" customFormat="1" ht="24.75" customHeight="1">
      <c r="A89" s="429">
        <v>53</v>
      </c>
      <c r="B89" s="445">
        <v>52</v>
      </c>
      <c r="C89" s="446" t="s">
        <v>288</v>
      </c>
      <c r="D89" s="446"/>
      <c r="E89" s="446" t="s">
        <v>347</v>
      </c>
      <c r="F89" s="441" t="s">
        <v>24</v>
      </c>
      <c r="G89" s="448" t="s">
        <v>480</v>
      </c>
      <c r="H89" s="449" t="s">
        <v>125</v>
      </c>
      <c r="I89" s="457"/>
      <c r="J89" s="458" t="s">
        <v>467</v>
      </c>
      <c r="K89" s="450"/>
      <c r="L89" s="449"/>
      <c r="M89" s="619"/>
      <c r="N89" s="629"/>
      <c r="O89" s="451"/>
      <c r="P89" s="435"/>
      <c r="Q89" s="435" t="s">
        <v>178</v>
      </c>
      <c r="R89" s="436"/>
      <c r="S89" s="433"/>
      <c r="T89" s="452" t="s">
        <v>130</v>
      </c>
      <c r="U89" s="456"/>
      <c r="V89" s="454" t="s">
        <v>464</v>
      </c>
      <c r="W89" s="447" t="s">
        <v>481</v>
      </c>
      <c r="X89" s="449"/>
      <c r="Y89" s="455"/>
      <c r="Z89" s="449"/>
      <c r="AA89" s="440"/>
      <c r="AB89" s="77" t="s">
        <v>131</v>
      </c>
      <c r="AC89" s="79"/>
      <c r="AD89" s="465"/>
      <c r="AE89" s="715"/>
      <c r="AF89" s="446"/>
      <c r="AG89" s="446"/>
      <c r="AH89" s="441"/>
      <c r="AI89" s="442"/>
      <c r="AJ89" s="466"/>
      <c r="AK89" s="467"/>
      <c r="AL89" s="468"/>
      <c r="AM89" s="468"/>
      <c r="AN89" s="468"/>
      <c r="AO89" s="468"/>
      <c r="AP89" s="468"/>
      <c r="AQ89" s="468"/>
      <c r="AR89" s="468"/>
      <c r="AS89" s="468"/>
      <c r="AT89" s="468"/>
      <c r="AU89" s="468"/>
      <c r="AV89" s="468"/>
    </row>
    <row r="90" spans="1:48" s="405" customFormat="1" ht="15" customHeight="1">
      <c r="A90" s="429">
        <v>54</v>
      </c>
      <c r="B90" s="445">
        <v>53</v>
      </c>
      <c r="C90" s="446" t="s">
        <v>288</v>
      </c>
      <c r="D90" s="446"/>
      <c r="E90" s="446" t="s">
        <v>347</v>
      </c>
      <c r="F90" s="441" t="s">
        <v>24</v>
      </c>
      <c r="G90" s="774" t="s">
        <v>482</v>
      </c>
      <c r="H90" s="449" t="s">
        <v>125</v>
      </c>
      <c r="I90" s="449"/>
      <c r="J90" s="448" t="s">
        <v>470</v>
      </c>
      <c r="K90" s="450"/>
      <c r="L90" s="459"/>
      <c r="M90" s="619"/>
      <c r="N90" s="629"/>
      <c r="O90" s="451"/>
      <c r="P90" s="435"/>
      <c r="Q90" s="435" t="s">
        <v>178</v>
      </c>
      <c r="R90" s="436"/>
      <c r="S90" s="433"/>
      <c r="T90" s="452" t="s">
        <v>130</v>
      </c>
      <c r="U90" s="456"/>
      <c r="V90" s="454" t="s">
        <v>471</v>
      </c>
      <c r="W90" s="447" t="s">
        <v>483</v>
      </c>
      <c r="X90" s="449"/>
      <c r="Y90" s="455"/>
      <c r="Z90" s="449"/>
      <c r="AA90" s="440"/>
      <c r="AB90" s="77"/>
      <c r="AC90" s="79"/>
      <c r="AD90" s="465"/>
      <c r="AE90" s="715"/>
      <c r="AF90" s="446"/>
      <c r="AG90" s="446"/>
      <c r="AH90" s="441"/>
      <c r="AI90" s="442"/>
      <c r="AJ90" s="466"/>
      <c r="AK90" s="467"/>
      <c r="AL90" s="468"/>
      <c r="AM90" s="468"/>
      <c r="AN90" s="468"/>
      <c r="AO90" s="468"/>
      <c r="AP90" s="468"/>
      <c r="AQ90" s="468"/>
      <c r="AR90" s="468"/>
      <c r="AS90" s="468"/>
      <c r="AT90" s="468"/>
      <c r="AU90" s="468"/>
      <c r="AV90" s="468"/>
    </row>
    <row r="91" spans="1:48" s="405" customFormat="1" ht="25.5">
      <c r="A91" s="429">
        <v>56</v>
      </c>
      <c r="B91" s="445">
        <v>55</v>
      </c>
      <c r="C91" s="446" t="s">
        <v>288</v>
      </c>
      <c r="D91" s="720"/>
      <c r="E91" s="446" t="s">
        <v>347</v>
      </c>
      <c r="F91" s="447" t="s">
        <v>24</v>
      </c>
      <c r="G91" s="460" t="s">
        <v>484</v>
      </c>
      <c r="H91" s="461" t="s">
        <v>125</v>
      </c>
      <c r="I91" s="461"/>
      <c r="J91" s="460" t="s">
        <v>470</v>
      </c>
      <c r="K91" s="450"/>
      <c r="L91" s="449"/>
      <c r="M91" s="619"/>
      <c r="N91" s="629"/>
      <c r="O91" s="451"/>
      <c r="P91" s="435"/>
      <c r="Q91" s="435" t="s">
        <v>178</v>
      </c>
      <c r="R91" s="436"/>
      <c r="S91" s="433"/>
      <c r="T91" s="452" t="s">
        <v>130</v>
      </c>
      <c r="U91" s="456"/>
      <c r="V91" s="462" t="s">
        <v>471</v>
      </c>
      <c r="W91" s="447" t="s">
        <v>485</v>
      </c>
      <c r="X91" s="449"/>
      <c r="Y91" s="455"/>
      <c r="Z91" s="449"/>
      <c r="AA91" s="440"/>
      <c r="AB91" s="77"/>
      <c r="AC91" s="79"/>
      <c r="AD91" s="465"/>
      <c r="AE91" s="715"/>
      <c r="AF91" s="446"/>
      <c r="AG91" s="446"/>
      <c r="AH91" s="441"/>
      <c r="AI91" s="442"/>
      <c r="AJ91" s="466"/>
      <c r="AK91" s="467"/>
      <c r="AL91" s="468"/>
      <c r="AM91" s="468"/>
      <c r="AN91" s="468"/>
      <c r="AO91" s="468"/>
      <c r="AP91" s="468"/>
      <c r="AQ91" s="468"/>
      <c r="AR91" s="468"/>
      <c r="AS91" s="468"/>
      <c r="AT91" s="468"/>
      <c r="AU91" s="468"/>
      <c r="AV91" s="468"/>
    </row>
    <row r="92" spans="1:48" s="405" customFormat="1" ht="15" customHeight="1">
      <c r="A92" s="429">
        <v>58</v>
      </c>
      <c r="B92" s="445">
        <v>57</v>
      </c>
      <c r="C92" s="463" t="s">
        <v>288</v>
      </c>
      <c r="D92" s="463"/>
      <c r="E92" s="719" t="s">
        <v>347</v>
      </c>
      <c r="F92" s="441" t="s">
        <v>24</v>
      </c>
      <c r="G92" s="461" t="s">
        <v>486</v>
      </c>
      <c r="H92" s="461" t="s">
        <v>125</v>
      </c>
      <c r="I92" s="461"/>
      <c r="J92" s="460" t="s">
        <v>470</v>
      </c>
      <c r="K92" s="450"/>
      <c r="L92" s="459"/>
      <c r="M92" s="619"/>
      <c r="N92" s="629"/>
      <c r="O92" s="451"/>
      <c r="P92" s="435"/>
      <c r="Q92" s="435" t="s">
        <v>178</v>
      </c>
      <c r="R92" s="436"/>
      <c r="S92" s="433"/>
      <c r="T92" s="452" t="s">
        <v>130</v>
      </c>
      <c r="U92" s="464"/>
      <c r="V92" s="462" t="s">
        <v>471</v>
      </c>
      <c r="W92" s="441" t="s">
        <v>487</v>
      </c>
      <c r="X92" s="461"/>
      <c r="Y92" s="461"/>
      <c r="Z92" s="461"/>
      <c r="AA92" s="440"/>
      <c r="AB92" s="77"/>
      <c r="AC92" s="202"/>
      <c r="AD92" s="465"/>
      <c r="AE92" s="465"/>
      <c r="AF92" s="463"/>
      <c r="AG92" s="463"/>
      <c r="AH92" s="441"/>
      <c r="AI92" s="442"/>
      <c r="AJ92" s="466"/>
      <c r="AK92" s="467"/>
    </row>
    <row r="93" spans="1:48" s="405" customFormat="1" ht="25.5">
      <c r="A93" s="1118">
        <v>60</v>
      </c>
      <c r="B93" s="1119">
        <v>59</v>
      </c>
      <c r="C93" s="1120" t="s">
        <v>288</v>
      </c>
      <c r="D93" s="1120"/>
      <c r="E93" s="1121" t="s">
        <v>347</v>
      </c>
      <c r="F93" s="1122" t="s">
        <v>24</v>
      </c>
      <c r="G93" s="1123" t="s">
        <v>488</v>
      </c>
      <c r="H93" s="1123" t="s">
        <v>125</v>
      </c>
      <c r="I93" s="1123"/>
      <c r="J93" s="1124" t="s">
        <v>470</v>
      </c>
      <c r="K93" s="1125"/>
      <c r="L93" s="1126"/>
      <c r="M93" s="1127"/>
      <c r="N93" s="1128"/>
      <c r="O93" s="1129"/>
      <c r="P93" s="1130"/>
      <c r="Q93" s="1130" t="s">
        <v>178</v>
      </c>
      <c r="R93" s="1131"/>
      <c r="S93" s="1132"/>
      <c r="T93" s="1133" t="s">
        <v>130</v>
      </c>
      <c r="U93" s="1134"/>
      <c r="V93" s="1135" t="s">
        <v>471</v>
      </c>
      <c r="W93" s="1122" t="s">
        <v>489</v>
      </c>
      <c r="X93" s="1123"/>
      <c r="Y93" s="1123"/>
      <c r="Z93" s="1123"/>
      <c r="AA93" s="1136"/>
      <c r="AB93" s="1137"/>
      <c r="AC93" s="1138"/>
      <c r="AD93" s="1139"/>
      <c r="AE93" s="1139"/>
      <c r="AF93" s="1120"/>
      <c r="AG93" s="1120"/>
      <c r="AH93" s="1122"/>
      <c r="AI93" s="1140"/>
      <c r="AJ93" s="1141"/>
      <c r="AK93" s="1142"/>
      <c r="AL93" s="1143"/>
      <c r="AM93" s="1143"/>
      <c r="AN93" s="1143"/>
      <c r="AO93" s="1143"/>
      <c r="AP93" s="1143"/>
      <c r="AQ93" s="1143"/>
      <c r="AR93" s="1143"/>
      <c r="AS93" s="1143"/>
      <c r="AT93" s="1143"/>
      <c r="AU93" s="1143"/>
      <c r="AV93" s="1143"/>
    </row>
    <row r="94" spans="1:48" s="405" customFormat="1" ht="25.5">
      <c r="A94" s="383">
        <v>61</v>
      </c>
      <c r="B94" s="406"/>
      <c r="C94" s="407" t="s">
        <v>288</v>
      </c>
      <c r="D94" s="635"/>
      <c r="E94" s="408" t="s">
        <v>227</v>
      </c>
      <c r="F94" s="401" t="s">
        <v>24</v>
      </c>
      <c r="G94" s="409" t="s">
        <v>490</v>
      </c>
      <c r="H94" s="410" t="s">
        <v>125</v>
      </c>
      <c r="I94" s="410"/>
      <c r="J94" s="411" t="s">
        <v>491</v>
      </c>
      <c r="K94" s="412"/>
      <c r="L94" s="413"/>
      <c r="M94" s="620"/>
      <c r="N94" s="399"/>
      <c r="O94" s="414"/>
      <c r="P94" s="390"/>
      <c r="Q94" s="390" t="s">
        <v>129</v>
      </c>
      <c r="R94" s="391"/>
      <c r="S94" s="392"/>
      <c r="T94" s="415" t="s">
        <v>151</v>
      </c>
      <c r="U94" s="416"/>
      <c r="V94" s="417" t="s">
        <v>492</v>
      </c>
      <c r="W94" s="401" t="s">
        <v>493</v>
      </c>
      <c r="X94" s="410"/>
      <c r="Y94" s="410"/>
      <c r="Z94" s="410"/>
      <c r="AA94" s="398"/>
      <c r="AB94" s="77"/>
      <c r="AC94" s="202"/>
      <c r="AD94" s="426"/>
      <c r="AE94" s="426"/>
      <c r="AF94" s="407"/>
      <c r="AG94" s="407"/>
      <c r="AH94" s="401"/>
      <c r="AI94" s="402"/>
      <c r="AJ94" s="427"/>
      <c r="AK94" s="428"/>
    </row>
    <row r="95" spans="1:48" s="405" customFormat="1" ht="38.25">
      <c r="A95" s="383">
        <v>62</v>
      </c>
      <c r="B95" s="418">
        <v>61</v>
      </c>
      <c r="C95" s="408" t="s">
        <v>288</v>
      </c>
      <c r="D95" s="408"/>
      <c r="E95" s="408" t="s">
        <v>227</v>
      </c>
      <c r="F95" s="419" t="s">
        <v>24</v>
      </c>
      <c r="G95" s="411" t="s">
        <v>494</v>
      </c>
      <c r="H95" s="420" t="s">
        <v>125</v>
      </c>
      <c r="I95" s="420"/>
      <c r="J95" s="411" t="s">
        <v>296</v>
      </c>
      <c r="K95" s="412"/>
      <c r="L95" s="420"/>
      <c r="M95" s="620"/>
      <c r="N95" s="399"/>
      <c r="O95" s="414"/>
      <c r="P95" s="390"/>
      <c r="Q95" s="390" t="s">
        <v>129</v>
      </c>
      <c r="R95" s="391"/>
      <c r="S95" s="392"/>
      <c r="T95" s="415" t="s">
        <v>151</v>
      </c>
      <c r="U95" s="421"/>
      <c r="V95" s="417" t="s">
        <v>495</v>
      </c>
      <c r="W95" s="419" t="s">
        <v>496</v>
      </c>
      <c r="X95" s="420"/>
      <c r="Y95" s="422"/>
      <c r="Z95" s="420"/>
      <c r="AA95" s="398"/>
      <c r="AB95" s="77" t="s">
        <v>131</v>
      </c>
      <c r="AC95" s="79"/>
      <c r="AD95" s="426"/>
      <c r="AE95" s="716"/>
      <c r="AF95" s="408"/>
      <c r="AG95" s="408"/>
      <c r="AH95" s="401"/>
      <c r="AI95" s="402"/>
      <c r="AJ95" s="427"/>
      <c r="AK95" s="428"/>
    </row>
    <row r="96" spans="1:48" s="405" customFormat="1" ht="25.5">
      <c r="A96" s="383">
        <v>63</v>
      </c>
      <c r="B96" s="418">
        <v>62</v>
      </c>
      <c r="C96" s="408" t="s">
        <v>288</v>
      </c>
      <c r="D96" s="408"/>
      <c r="E96" s="408" t="s">
        <v>227</v>
      </c>
      <c r="F96" s="419" t="s">
        <v>24</v>
      </c>
      <c r="G96" s="411" t="s">
        <v>497</v>
      </c>
      <c r="H96" s="420" t="s">
        <v>125</v>
      </c>
      <c r="I96" s="420"/>
      <c r="J96" s="411" t="s">
        <v>463</v>
      </c>
      <c r="K96" s="412"/>
      <c r="L96" s="420"/>
      <c r="M96" s="620"/>
      <c r="N96" s="399"/>
      <c r="O96" s="414"/>
      <c r="P96" s="390"/>
      <c r="Q96" s="390" t="s">
        <v>129</v>
      </c>
      <c r="R96" s="391"/>
      <c r="S96" s="392"/>
      <c r="T96" s="415" t="s">
        <v>151</v>
      </c>
      <c r="U96" s="423"/>
      <c r="V96" s="417" t="s">
        <v>498</v>
      </c>
      <c r="W96" s="419" t="s">
        <v>499</v>
      </c>
      <c r="X96" s="420"/>
      <c r="Y96" s="422"/>
      <c r="Z96" s="420"/>
      <c r="AA96" s="398"/>
      <c r="AB96" s="77" t="s">
        <v>131</v>
      </c>
      <c r="AC96" s="79"/>
      <c r="AD96" s="426"/>
      <c r="AE96" s="716"/>
      <c r="AF96" s="408"/>
      <c r="AG96" s="408"/>
      <c r="AH96" s="401"/>
      <c r="AI96" s="402"/>
      <c r="AJ96" s="427"/>
      <c r="AK96" s="428"/>
    </row>
    <row r="97" spans="1:48" s="360" customFormat="1" ht="61.5" customHeight="1">
      <c r="A97" s="383">
        <v>64</v>
      </c>
      <c r="B97" s="418">
        <v>63</v>
      </c>
      <c r="C97" s="408" t="s">
        <v>288</v>
      </c>
      <c r="D97" s="408"/>
      <c r="E97" s="408" t="s">
        <v>227</v>
      </c>
      <c r="F97" s="401" t="s">
        <v>24</v>
      </c>
      <c r="G97" s="411" t="s">
        <v>500</v>
      </c>
      <c r="H97" s="420" t="s">
        <v>125</v>
      </c>
      <c r="I97" s="424"/>
      <c r="J97" s="425" t="s">
        <v>467</v>
      </c>
      <c r="K97" s="412"/>
      <c r="L97" s="420"/>
      <c r="M97" s="620"/>
      <c r="N97" s="399"/>
      <c r="O97" s="414"/>
      <c r="P97" s="390"/>
      <c r="Q97" s="390" t="s">
        <v>129</v>
      </c>
      <c r="R97" s="391"/>
      <c r="S97" s="392"/>
      <c r="T97" s="415" t="s">
        <v>151</v>
      </c>
      <c r="U97" s="423"/>
      <c r="V97" s="417" t="s">
        <v>498</v>
      </c>
      <c r="W97" s="419" t="s">
        <v>501</v>
      </c>
      <c r="X97" s="420"/>
      <c r="Y97" s="422"/>
      <c r="Z97" s="420"/>
      <c r="AA97" s="398"/>
      <c r="AB97" s="77" t="s">
        <v>131</v>
      </c>
      <c r="AC97" s="79"/>
      <c r="AD97" s="426"/>
      <c r="AE97" s="716"/>
      <c r="AF97" s="408"/>
      <c r="AG97" s="408"/>
      <c r="AH97" s="401"/>
      <c r="AI97" s="402"/>
      <c r="AJ97" s="427"/>
      <c r="AK97" s="428"/>
      <c r="AL97" s="405"/>
      <c r="AM97" s="405"/>
      <c r="AN97" s="405"/>
      <c r="AO97" s="405"/>
      <c r="AP97" s="405"/>
      <c r="AQ97" s="405"/>
      <c r="AR97" s="405"/>
      <c r="AS97" s="405"/>
      <c r="AT97" s="405"/>
      <c r="AU97" s="405"/>
      <c r="AV97" s="405"/>
    </row>
    <row r="98" spans="1:48" s="360" customFormat="1" ht="60" customHeight="1">
      <c r="A98" s="383">
        <v>65</v>
      </c>
      <c r="B98" s="418">
        <v>64</v>
      </c>
      <c r="C98" s="408" t="s">
        <v>288</v>
      </c>
      <c r="D98" s="408"/>
      <c r="E98" s="408" t="s">
        <v>227</v>
      </c>
      <c r="F98" s="401" t="s">
        <v>24</v>
      </c>
      <c r="G98" s="420" t="s">
        <v>502</v>
      </c>
      <c r="H98" s="420" t="s">
        <v>125</v>
      </c>
      <c r="I98" s="420"/>
      <c r="J98" s="411" t="s">
        <v>470</v>
      </c>
      <c r="K98" s="412"/>
      <c r="L98" s="413"/>
      <c r="M98" s="620"/>
      <c r="N98" s="399"/>
      <c r="O98" s="414"/>
      <c r="P98" s="390"/>
      <c r="Q98" s="390" t="s">
        <v>129</v>
      </c>
      <c r="R98" s="391"/>
      <c r="S98" s="392"/>
      <c r="T98" s="415" t="s">
        <v>151</v>
      </c>
      <c r="U98" s="423"/>
      <c r="V98" s="417" t="s">
        <v>503</v>
      </c>
      <c r="W98" s="419" t="s">
        <v>504</v>
      </c>
      <c r="X98" s="420"/>
      <c r="Y98" s="422"/>
      <c r="Z98" s="420"/>
      <c r="AA98" s="398"/>
      <c r="AB98" s="77"/>
      <c r="AC98" s="79"/>
      <c r="AD98" s="426"/>
      <c r="AE98" s="716"/>
      <c r="AF98" s="408"/>
      <c r="AG98" s="408"/>
      <c r="AH98" s="401"/>
      <c r="AI98" s="402"/>
      <c r="AJ98" s="427"/>
      <c r="AK98" s="428"/>
      <c r="AL98" s="405"/>
      <c r="AM98" s="405"/>
      <c r="AN98" s="405"/>
      <c r="AO98" s="405"/>
      <c r="AP98" s="405"/>
      <c r="AQ98" s="405"/>
      <c r="AR98" s="405"/>
      <c r="AS98" s="405"/>
      <c r="AT98" s="405"/>
      <c r="AU98" s="405"/>
      <c r="AV98" s="405"/>
    </row>
    <row r="99" spans="1:48" s="360" customFormat="1" ht="60" customHeight="1">
      <c r="A99" s="383">
        <v>67</v>
      </c>
      <c r="B99" s="418">
        <v>66</v>
      </c>
      <c r="C99" s="408" t="s">
        <v>288</v>
      </c>
      <c r="D99" s="408"/>
      <c r="E99" s="408" t="s">
        <v>227</v>
      </c>
      <c r="F99" s="419" t="s">
        <v>24</v>
      </c>
      <c r="G99" s="409" t="s">
        <v>505</v>
      </c>
      <c r="H99" s="410" t="s">
        <v>125</v>
      </c>
      <c r="I99" s="410"/>
      <c r="J99" s="409" t="s">
        <v>470</v>
      </c>
      <c r="K99" s="412"/>
      <c r="L99" s="420"/>
      <c r="M99" s="620"/>
      <c r="N99" s="399"/>
      <c r="O99" s="414"/>
      <c r="P99" s="390"/>
      <c r="Q99" s="390" t="s">
        <v>129</v>
      </c>
      <c r="R99" s="391"/>
      <c r="S99" s="392"/>
      <c r="T99" s="415" t="s">
        <v>151</v>
      </c>
      <c r="U99" s="423"/>
      <c r="V99" s="417" t="s">
        <v>503</v>
      </c>
      <c r="W99" s="419" t="s">
        <v>506</v>
      </c>
      <c r="X99" s="420"/>
      <c r="Y99" s="422"/>
      <c r="Z99" s="420"/>
      <c r="AA99" s="398"/>
      <c r="AB99" s="77"/>
      <c r="AC99" s="79"/>
      <c r="AD99" s="426"/>
      <c r="AE99" s="716"/>
      <c r="AF99" s="408"/>
      <c r="AG99" s="408"/>
      <c r="AH99" s="401"/>
      <c r="AI99" s="402"/>
      <c r="AJ99" s="427"/>
      <c r="AK99" s="428"/>
      <c r="AL99" s="405"/>
      <c r="AM99" s="405"/>
      <c r="AN99" s="405"/>
      <c r="AO99" s="405"/>
      <c r="AP99" s="405"/>
      <c r="AQ99" s="405"/>
      <c r="AR99" s="405"/>
      <c r="AS99" s="405"/>
      <c r="AT99" s="405"/>
      <c r="AU99" s="405"/>
      <c r="AV99" s="405"/>
    </row>
    <row r="100" spans="1:48" s="360" customFormat="1" ht="60" customHeight="1">
      <c r="A100" s="383">
        <v>69</v>
      </c>
      <c r="B100" s="418">
        <v>68</v>
      </c>
      <c r="C100" s="407" t="s">
        <v>288</v>
      </c>
      <c r="D100" s="635"/>
      <c r="E100" s="408" t="s">
        <v>227</v>
      </c>
      <c r="F100" s="401" t="s">
        <v>24</v>
      </c>
      <c r="G100" s="410" t="s">
        <v>507</v>
      </c>
      <c r="H100" s="410" t="s">
        <v>125</v>
      </c>
      <c r="I100" s="410"/>
      <c r="J100" s="409" t="s">
        <v>470</v>
      </c>
      <c r="K100" s="412"/>
      <c r="L100" s="413"/>
      <c r="M100" s="620"/>
      <c r="N100" s="399"/>
      <c r="O100" s="414"/>
      <c r="P100" s="390"/>
      <c r="Q100" s="390" t="s">
        <v>129</v>
      </c>
      <c r="R100" s="391"/>
      <c r="S100" s="392"/>
      <c r="T100" s="415" t="s">
        <v>151</v>
      </c>
      <c r="U100" s="416"/>
      <c r="V100" s="417" t="s">
        <v>503</v>
      </c>
      <c r="W100" s="401" t="s">
        <v>508</v>
      </c>
      <c r="X100" s="410"/>
      <c r="Y100" s="410"/>
      <c r="Z100" s="410"/>
      <c r="AA100" s="398"/>
      <c r="AB100" s="77"/>
      <c r="AC100" s="202"/>
      <c r="AD100" s="426"/>
      <c r="AE100" s="426"/>
      <c r="AF100" s="407"/>
      <c r="AG100" s="407"/>
      <c r="AH100" s="401"/>
      <c r="AI100" s="402"/>
      <c r="AJ100" s="427"/>
      <c r="AK100" s="428"/>
      <c r="AL100" s="405"/>
      <c r="AM100" s="405"/>
      <c r="AN100" s="405"/>
      <c r="AO100" s="405"/>
      <c r="AP100" s="405"/>
      <c r="AQ100" s="405"/>
      <c r="AR100" s="405"/>
      <c r="AS100" s="405"/>
      <c r="AT100" s="405"/>
      <c r="AU100" s="405"/>
      <c r="AV100" s="405"/>
    </row>
    <row r="101" spans="1:48" s="319" customFormat="1" ht="60" customHeight="1">
      <c r="A101" s="383">
        <v>72</v>
      </c>
      <c r="B101" s="418">
        <v>71</v>
      </c>
      <c r="C101" s="407" t="s">
        <v>288</v>
      </c>
      <c r="D101" s="635"/>
      <c r="E101" s="408" t="s">
        <v>227</v>
      </c>
      <c r="F101" s="401" t="s">
        <v>24</v>
      </c>
      <c r="G101" s="1008" t="s">
        <v>509</v>
      </c>
      <c r="H101" s="410" t="s">
        <v>125</v>
      </c>
      <c r="I101" s="410"/>
      <c r="J101" s="409" t="s">
        <v>470</v>
      </c>
      <c r="K101" s="412"/>
      <c r="L101" s="413"/>
      <c r="M101" s="620"/>
      <c r="N101" s="399"/>
      <c r="O101" s="414"/>
      <c r="P101" s="390"/>
      <c r="Q101" s="390" t="s">
        <v>129</v>
      </c>
      <c r="R101" s="391"/>
      <c r="S101" s="392"/>
      <c r="T101" s="415" t="s">
        <v>151</v>
      </c>
      <c r="U101" s="416"/>
      <c r="V101" s="417" t="s">
        <v>503</v>
      </c>
      <c r="W101" s="401" t="s">
        <v>510</v>
      </c>
      <c r="X101" s="410"/>
      <c r="Y101" s="410"/>
      <c r="Z101" s="410"/>
      <c r="AA101" s="398"/>
      <c r="AB101" s="77"/>
      <c r="AC101" s="202"/>
      <c r="AD101" s="426"/>
      <c r="AE101" s="426"/>
      <c r="AF101" s="407"/>
      <c r="AG101" s="407"/>
      <c r="AH101" s="401"/>
      <c r="AI101" s="402"/>
      <c r="AJ101" s="427"/>
      <c r="AK101" s="428"/>
      <c r="AL101" s="360"/>
      <c r="AM101" s="360"/>
      <c r="AN101" s="360"/>
      <c r="AO101" s="360"/>
      <c r="AP101" s="360"/>
      <c r="AQ101" s="360"/>
      <c r="AR101" s="360"/>
      <c r="AS101" s="360"/>
      <c r="AT101" s="360"/>
      <c r="AU101" s="360"/>
      <c r="AV101" s="360"/>
    </row>
    <row r="102" spans="1:48" s="319" customFormat="1" ht="60" customHeight="1">
      <c r="A102" s="383">
        <v>74</v>
      </c>
      <c r="B102" s="418">
        <v>73</v>
      </c>
      <c r="C102" s="407" t="s">
        <v>288</v>
      </c>
      <c r="D102" s="635"/>
      <c r="E102" s="408" t="s">
        <v>227</v>
      </c>
      <c r="F102" s="401" t="s">
        <v>24</v>
      </c>
      <c r="G102" s="805" t="s">
        <v>511</v>
      </c>
      <c r="H102" s="410" t="s">
        <v>125</v>
      </c>
      <c r="I102" s="410"/>
      <c r="J102" s="409" t="s">
        <v>470</v>
      </c>
      <c r="K102" s="412"/>
      <c r="L102" s="413"/>
      <c r="M102" s="620"/>
      <c r="N102" s="399"/>
      <c r="O102" s="414"/>
      <c r="P102" s="804"/>
      <c r="Q102" s="390" t="s">
        <v>129</v>
      </c>
      <c r="R102" s="391"/>
      <c r="S102" s="392"/>
      <c r="T102" s="415" t="s">
        <v>151</v>
      </c>
      <c r="U102" s="416"/>
      <c r="V102" s="417" t="s">
        <v>503</v>
      </c>
      <c r="W102" s="401" t="s">
        <v>512</v>
      </c>
      <c r="X102" s="410"/>
      <c r="Y102" s="410"/>
      <c r="Z102" s="410"/>
      <c r="AA102" s="398"/>
      <c r="AB102" s="77"/>
      <c r="AC102" s="202"/>
      <c r="AD102" s="426"/>
      <c r="AE102" s="426"/>
      <c r="AF102" s="407"/>
      <c r="AG102" s="407"/>
      <c r="AH102" s="401"/>
      <c r="AI102" s="402"/>
      <c r="AJ102" s="427"/>
      <c r="AK102" s="428"/>
      <c r="AL102" s="360"/>
      <c r="AM102" s="360"/>
      <c r="AN102" s="360"/>
      <c r="AO102" s="360"/>
      <c r="AP102" s="360"/>
      <c r="AQ102" s="360"/>
      <c r="AR102" s="360"/>
      <c r="AS102" s="360"/>
      <c r="AT102" s="360"/>
      <c r="AU102" s="360"/>
      <c r="AV102" s="360"/>
    </row>
    <row r="103" spans="1:48" s="319" customFormat="1" ht="60" customHeight="1">
      <c r="A103" s="383">
        <v>74.099999999999994</v>
      </c>
      <c r="B103" s="418">
        <v>74</v>
      </c>
      <c r="C103" s="407" t="s">
        <v>288</v>
      </c>
      <c r="D103" s="635"/>
      <c r="E103" s="408" t="s">
        <v>227</v>
      </c>
      <c r="F103" s="401" t="s">
        <v>24</v>
      </c>
      <c r="G103" s="805" t="s">
        <v>513</v>
      </c>
      <c r="H103" s="410" t="s">
        <v>125</v>
      </c>
      <c r="I103" s="410"/>
      <c r="J103" s="409" t="s">
        <v>470</v>
      </c>
      <c r="K103" s="412"/>
      <c r="L103" s="413"/>
      <c r="M103" s="620"/>
      <c r="N103" s="399"/>
      <c r="O103" s="414"/>
      <c r="P103" s="804"/>
      <c r="Q103" s="390" t="s">
        <v>395</v>
      </c>
      <c r="R103" s="391"/>
      <c r="S103" s="392"/>
      <c r="T103" s="415" t="s">
        <v>151</v>
      </c>
      <c r="U103" s="416"/>
      <c r="V103" s="417" t="s">
        <v>503</v>
      </c>
      <c r="W103" s="401" t="s">
        <v>512</v>
      </c>
      <c r="X103" s="410"/>
      <c r="Y103" s="410"/>
      <c r="Z103" s="410"/>
      <c r="AA103" s="398"/>
      <c r="AB103" s="77"/>
      <c r="AC103" s="202"/>
      <c r="AD103" s="426"/>
      <c r="AE103" s="426"/>
      <c r="AF103" s="407"/>
      <c r="AG103" s="407"/>
      <c r="AH103" s="401"/>
      <c r="AI103" s="402"/>
      <c r="AJ103" s="427"/>
      <c r="AK103" s="428"/>
      <c r="AL103" s="360"/>
      <c r="AM103" s="360"/>
      <c r="AN103" s="360"/>
      <c r="AO103" s="360"/>
      <c r="AP103" s="360"/>
      <c r="AQ103" s="360"/>
      <c r="AR103" s="360"/>
      <c r="AS103" s="360"/>
      <c r="AT103" s="360"/>
      <c r="AU103" s="360"/>
      <c r="AV103" s="360"/>
    </row>
    <row r="104" spans="1:48" s="319" customFormat="1" ht="60" customHeight="1">
      <c r="A104" s="383">
        <v>74.2</v>
      </c>
      <c r="B104" s="418">
        <v>74.099999999999994</v>
      </c>
      <c r="C104" s="407" t="s">
        <v>288</v>
      </c>
      <c r="D104" s="635"/>
      <c r="E104" s="408" t="s">
        <v>227</v>
      </c>
      <c r="F104" s="401" t="s">
        <v>24</v>
      </c>
      <c r="G104" s="805" t="s">
        <v>514</v>
      </c>
      <c r="H104" s="410" t="s">
        <v>125</v>
      </c>
      <c r="I104" s="410"/>
      <c r="J104" s="409" t="s">
        <v>470</v>
      </c>
      <c r="K104" s="412"/>
      <c r="L104" s="413"/>
      <c r="M104" s="620"/>
      <c r="N104" s="399"/>
      <c r="O104" s="414"/>
      <c r="P104" s="804"/>
      <c r="Q104" s="390" t="s">
        <v>173</v>
      </c>
      <c r="R104" s="391"/>
      <c r="S104" s="392"/>
      <c r="T104" s="415" t="s">
        <v>151</v>
      </c>
      <c r="U104" s="416"/>
      <c r="V104" s="417" t="s">
        <v>503</v>
      </c>
      <c r="W104" s="401" t="s">
        <v>512</v>
      </c>
      <c r="X104" s="410"/>
      <c r="Y104" s="410"/>
      <c r="Z104" s="410"/>
      <c r="AA104" s="398"/>
      <c r="AB104" s="77"/>
      <c r="AC104" s="202"/>
      <c r="AD104" s="426"/>
      <c r="AE104" s="426"/>
      <c r="AF104" s="407"/>
      <c r="AG104" s="407"/>
      <c r="AH104" s="401"/>
      <c r="AI104" s="1011"/>
      <c r="AJ104" s="1012"/>
      <c r="AK104" s="1013"/>
      <c r="AL104" s="360"/>
      <c r="AM104" s="360"/>
      <c r="AN104" s="360"/>
      <c r="AO104" s="360"/>
      <c r="AP104" s="360"/>
      <c r="AQ104" s="360"/>
      <c r="AR104" s="360"/>
      <c r="AS104" s="360"/>
      <c r="AT104" s="360"/>
      <c r="AU104" s="360"/>
      <c r="AV104" s="360"/>
    </row>
    <row r="105" spans="1:48" s="319" customFormat="1" ht="60" customHeight="1">
      <c r="A105" s="361">
        <v>75</v>
      </c>
      <c r="B105" s="362">
        <v>74</v>
      </c>
      <c r="C105" s="363" t="s">
        <v>288</v>
      </c>
      <c r="D105" s="363"/>
      <c r="E105" s="363" t="s">
        <v>209</v>
      </c>
      <c r="F105" s="356" t="s">
        <v>24</v>
      </c>
      <c r="G105" s="364" t="s">
        <v>515</v>
      </c>
      <c r="H105" s="365" t="s">
        <v>125</v>
      </c>
      <c r="I105" s="366"/>
      <c r="J105" s="367" t="s">
        <v>463</v>
      </c>
      <c r="K105" s="368"/>
      <c r="L105" s="365"/>
      <c r="M105" s="604"/>
      <c r="N105" s="352"/>
      <c r="O105" s="604"/>
      <c r="P105" s="370"/>
      <c r="Q105" s="369" t="s">
        <v>129</v>
      </c>
      <c r="R105" s="371"/>
      <c r="S105" s="372"/>
      <c r="T105" s="373" t="s">
        <v>151</v>
      </c>
      <c r="U105" s="374"/>
      <c r="V105" s="375" t="s">
        <v>498</v>
      </c>
      <c r="W105" s="376" t="s">
        <v>516</v>
      </c>
      <c r="X105" s="377"/>
      <c r="Y105" s="365"/>
      <c r="Z105" s="378"/>
      <c r="AA105" s="379"/>
      <c r="AB105" s="80"/>
      <c r="AC105" s="85"/>
      <c r="AD105" s="356"/>
      <c r="AE105" s="717"/>
      <c r="AF105" s="381"/>
      <c r="AG105" s="381"/>
      <c r="AH105" s="382"/>
      <c r="AI105" s="360"/>
      <c r="AJ105" s="360"/>
      <c r="AK105" s="360"/>
    </row>
    <row r="106" spans="1:48" s="319" customFormat="1" ht="60" customHeight="1">
      <c r="A106" s="361">
        <v>76</v>
      </c>
      <c r="B106" s="362">
        <v>75</v>
      </c>
      <c r="C106" s="363" t="s">
        <v>288</v>
      </c>
      <c r="D106" s="363"/>
      <c r="E106" s="363" t="s">
        <v>209</v>
      </c>
      <c r="F106" s="356" t="s">
        <v>24</v>
      </c>
      <c r="G106" s="364" t="s">
        <v>517</v>
      </c>
      <c r="H106" s="365" t="s">
        <v>125</v>
      </c>
      <c r="I106" s="365"/>
      <c r="J106" s="364" t="s">
        <v>470</v>
      </c>
      <c r="K106" s="368"/>
      <c r="L106" s="380"/>
      <c r="M106" s="604"/>
      <c r="N106" s="352"/>
      <c r="O106" s="604"/>
      <c r="P106" s="370"/>
      <c r="Q106" s="369" t="s">
        <v>129</v>
      </c>
      <c r="R106" s="371"/>
      <c r="S106" s="372"/>
      <c r="T106" s="373" t="s">
        <v>151</v>
      </c>
      <c r="U106" s="374"/>
      <c r="V106" s="375" t="s">
        <v>503</v>
      </c>
      <c r="W106" s="376" t="s">
        <v>518</v>
      </c>
      <c r="X106" s="377"/>
      <c r="Y106" s="365"/>
      <c r="Z106" s="378"/>
      <c r="AA106" s="379"/>
      <c r="AB106" s="80"/>
      <c r="AC106" s="85"/>
      <c r="AD106" s="356"/>
      <c r="AE106" s="717"/>
      <c r="AF106" s="381"/>
      <c r="AG106" s="381"/>
      <c r="AH106" s="382"/>
      <c r="AI106" s="360"/>
      <c r="AJ106" s="360"/>
      <c r="AK106" s="360"/>
    </row>
    <row r="107" spans="1:48" s="319" customFormat="1" ht="38.25">
      <c r="A107" s="320">
        <v>78</v>
      </c>
      <c r="B107" s="321"/>
      <c r="C107" s="322" t="s">
        <v>288</v>
      </c>
      <c r="D107" s="636"/>
      <c r="E107" s="323"/>
      <c r="F107" s="315" t="s">
        <v>24</v>
      </c>
      <c r="G107" s="324" t="s">
        <v>490</v>
      </c>
      <c r="H107" s="325" t="s">
        <v>125</v>
      </c>
      <c r="I107" s="325"/>
      <c r="J107" s="326" t="s">
        <v>491</v>
      </c>
      <c r="K107" s="327"/>
      <c r="L107" s="328"/>
      <c r="M107" s="621"/>
      <c r="N107" s="311"/>
      <c r="O107" s="329"/>
      <c r="P107" s="330"/>
      <c r="Q107" s="330" t="s">
        <v>129</v>
      </c>
      <c r="R107" s="331"/>
      <c r="S107" s="332"/>
      <c r="T107" s="333" t="s">
        <v>151</v>
      </c>
      <c r="U107" s="334"/>
      <c r="V107" s="335" t="s">
        <v>492</v>
      </c>
      <c r="W107" s="315" t="s">
        <v>519</v>
      </c>
      <c r="X107" s="325"/>
      <c r="Y107" s="325"/>
      <c r="Z107" s="325"/>
      <c r="AA107" s="336"/>
      <c r="AB107" s="216"/>
      <c r="AC107" s="14"/>
      <c r="AD107" s="345"/>
      <c r="AE107" s="345"/>
      <c r="AF107" s="315"/>
      <c r="AG107" s="315"/>
      <c r="AI107" s="347"/>
    </row>
    <row r="108" spans="1:48" s="319" customFormat="1" ht="38.25">
      <c r="A108" s="320">
        <v>79</v>
      </c>
      <c r="B108" s="321">
        <v>78</v>
      </c>
      <c r="C108" s="322" t="s">
        <v>288</v>
      </c>
      <c r="D108" s="636"/>
      <c r="E108" s="323"/>
      <c r="F108" s="315" t="s">
        <v>24</v>
      </c>
      <c r="G108" s="324" t="s">
        <v>520</v>
      </c>
      <c r="H108" s="325" t="s">
        <v>125</v>
      </c>
      <c r="I108" s="325"/>
      <c r="J108" s="326" t="s">
        <v>491</v>
      </c>
      <c r="K108" s="327"/>
      <c r="L108" s="328"/>
      <c r="M108" s="621"/>
      <c r="N108" s="311"/>
      <c r="O108" s="329"/>
      <c r="P108" s="330"/>
      <c r="Q108" s="330" t="s">
        <v>129</v>
      </c>
      <c r="R108" s="331"/>
      <c r="S108" s="332"/>
      <c r="T108" s="333" t="s">
        <v>151</v>
      </c>
      <c r="U108" s="334"/>
      <c r="V108" s="335" t="s">
        <v>492</v>
      </c>
      <c r="W108" s="315" t="s">
        <v>521</v>
      </c>
      <c r="X108" s="325"/>
      <c r="Y108" s="325"/>
      <c r="Z108" s="325"/>
      <c r="AA108" s="336"/>
      <c r="AB108" s="57"/>
      <c r="AC108" s="15"/>
      <c r="AD108" s="348"/>
      <c r="AE108" s="348"/>
      <c r="AF108" s="346"/>
      <c r="AG108" s="346"/>
      <c r="AI108" s="347"/>
    </row>
    <row r="109" spans="1:48" s="296" customFormat="1" ht="25.5">
      <c r="A109" s="320">
        <v>80</v>
      </c>
      <c r="B109" s="321">
        <v>79</v>
      </c>
      <c r="C109" s="323" t="s">
        <v>288</v>
      </c>
      <c r="D109" s="323"/>
      <c r="E109" s="323" t="s">
        <v>198</v>
      </c>
      <c r="F109" s="337" t="s">
        <v>24</v>
      </c>
      <c r="G109" s="326" t="s">
        <v>522</v>
      </c>
      <c r="H109" s="338" t="s">
        <v>125</v>
      </c>
      <c r="I109" s="338"/>
      <c r="J109" s="326" t="s">
        <v>296</v>
      </c>
      <c r="K109" s="327"/>
      <c r="L109" s="338"/>
      <c r="M109" s="621"/>
      <c r="N109" s="311"/>
      <c r="O109" s="329"/>
      <c r="P109" s="330"/>
      <c r="Q109" s="330" t="s">
        <v>129</v>
      </c>
      <c r="R109" s="331"/>
      <c r="S109" s="332"/>
      <c r="T109" s="333" t="s">
        <v>151</v>
      </c>
      <c r="U109" s="339"/>
      <c r="V109" s="335" t="s">
        <v>495</v>
      </c>
      <c r="W109" s="337" t="s">
        <v>523</v>
      </c>
      <c r="X109" s="338"/>
      <c r="Y109" s="340"/>
      <c r="Z109" s="338"/>
      <c r="AA109" s="336"/>
      <c r="AB109" s="216"/>
      <c r="AC109" s="80"/>
      <c r="AD109" s="349"/>
      <c r="AE109" s="718"/>
      <c r="AF109" s="315"/>
      <c r="AG109" s="315"/>
      <c r="AH109" s="319"/>
      <c r="AI109" s="347"/>
      <c r="AJ109" s="319"/>
      <c r="AK109" s="319"/>
      <c r="AL109" s="319"/>
      <c r="AM109" s="319"/>
      <c r="AN109" s="319"/>
      <c r="AO109" s="319"/>
      <c r="AP109" s="319"/>
      <c r="AQ109" s="319"/>
      <c r="AR109" s="319"/>
      <c r="AS109" s="319"/>
      <c r="AT109" s="319"/>
      <c r="AU109" s="319"/>
      <c r="AV109" s="319"/>
    </row>
    <row r="110" spans="1:48" s="296" customFormat="1" ht="38.25">
      <c r="A110" s="320">
        <v>81</v>
      </c>
      <c r="B110" s="321">
        <v>80</v>
      </c>
      <c r="C110" s="323" t="s">
        <v>288</v>
      </c>
      <c r="D110" s="323"/>
      <c r="E110" s="323" t="s">
        <v>198</v>
      </c>
      <c r="F110" s="337" t="s">
        <v>24</v>
      </c>
      <c r="G110" s="326" t="s">
        <v>524</v>
      </c>
      <c r="H110" s="338" t="s">
        <v>125</v>
      </c>
      <c r="I110" s="338"/>
      <c r="J110" s="326" t="s">
        <v>463</v>
      </c>
      <c r="K110" s="327"/>
      <c r="L110" s="338"/>
      <c r="M110" s="621"/>
      <c r="N110" s="311"/>
      <c r="O110" s="329"/>
      <c r="P110" s="330"/>
      <c r="Q110" s="330" t="s">
        <v>129</v>
      </c>
      <c r="R110" s="331"/>
      <c r="S110" s="332"/>
      <c r="T110" s="333" t="s">
        <v>151</v>
      </c>
      <c r="U110" s="341"/>
      <c r="V110" s="335" t="s">
        <v>498</v>
      </c>
      <c r="W110" s="337" t="s">
        <v>525</v>
      </c>
      <c r="X110" s="338"/>
      <c r="Y110" s="340"/>
      <c r="Z110" s="338"/>
      <c r="AA110" s="336"/>
      <c r="AB110" s="216"/>
      <c r="AC110" s="80"/>
      <c r="AD110" s="349"/>
      <c r="AE110" s="718"/>
      <c r="AF110" s="315"/>
      <c r="AG110" s="315"/>
      <c r="AH110" s="319"/>
      <c r="AI110" s="347"/>
      <c r="AJ110" s="319"/>
      <c r="AK110" s="319"/>
      <c r="AL110" s="319"/>
      <c r="AM110" s="319"/>
      <c r="AN110" s="319"/>
      <c r="AO110" s="319"/>
      <c r="AP110" s="319"/>
      <c r="AQ110" s="319"/>
      <c r="AR110" s="319"/>
      <c r="AS110" s="319"/>
      <c r="AT110" s="319"/>
      <c r="AU110" s="319"/>
      <c r="AV110" s="319"/>
    </row>
    <row r="111" spans="1:48" s="296" customFormat="1" ht="38.25">
      <c r="A111" s="320">
        <v>82</v>
      </c>
      <c r="B111" s="321">
        <v>81</v>
      </c>
      <c r="C111" s="323" t="s">
        <v>288</v>
      </c>
      <c r="D111" s="323"/>
      <c r="E111" s="323" t="s">
        <v>198</v>
      </c>
      <c r="F111" s="315" t="s">
        <v>24</v>
      </c>
      <c r="G111" s="326" t="s">
        <v>526</v>
      </c>
      <c r="H111" s="338" t="s">
        <v>125</v>
      </c>
      <c r="I111" s="342"/>
      <c r="J111" s="343" t="s">
        <v>467</v>
      </c>
      <c r="K111" s="327"/>
      <c r="L111" s="338"/>
      <c r="M111" s="621"/>
      <c r="N111" s="311"/>
      <c r="O111" s="329"/>
      <c r="P111" s="330"/>
      <c r="Q111" s="330" t="s">
        <v>129</v>
      </c>
      <c r="R111" s="331"/>
      <c r="S111" s="332"/>
      <c r="T111" s="333" t="s">
        <v>151</v>
      </c>
      <c r="U111" s="341"/>
      <c r="V111" s="335" t="s">
        <v>498</v>
      </c>
      <c r="W111" s="337" t="s">
        <v>527</v>
      </c>
      <c r="X111" s="338"/>
      <c r="Y111" s="340"/>
      <c r="Z111" s="338"/>
      <c r="AA111" s="336"/>
      <c r="AB111" s="216"/>
      <c r="AC111" s="80"/>
      <c r="AD111" s="349"/>
      <c r="AE111" s="718"/>
      <c r="AF111" s="315"/>
      <c r="AG111" s="315"/>
      <c r="AH111" s="319"/>
      <c r="AI111" s="347"/>
      <c r="AJ111" s="319"/>
      <c r="AK111" s="319"/>
      <c r="AL111" s="319"/>
      <c r="AM111" s="319"/>
      <c r="AN111" s="319"/>
      <c r="AO111" s="319"/>
      <c r="AP111" s="319"/>
      <c r="AQ111" s="319"/>
      <c r="AR111" s="319"/>
      <c r="AS111" s="319"/>
      <c r="AT111" s="319"/>
      <c r="AU111" s="319"/>
      <c r="AV111" s="319"/>
    </row>
    <row r="112" spans="1:48" s="296" customFormat="1" ht="38.25">
      <c r="A112" s="320">
        <v>83</v>
      </c>
      <c r="B112" s="321">
        <v>82</v>
      </c>
      <c r="C112" s="323" t="s">
        <v>288</v>
      </c>
      <c r="D112" s="323"/>
      <c r="E112" s="337" t="s">
        <v>198</v>
      </c>
      <c r="F112" s="315" t="s">
        <v>24</v>
      </c>
      <c r="G112" s="1007" t="s">
        <v>528</v>
      </c>
      <c r="H112" s="338" t="s">
        <v>125</v>
      </c>
      <c r="I112" s="338"/>
      <c r="J112" s="326" t="s">
        <v>470</v>
      </c>
      <c r="K112" s="327"/>
      <c r="L112" s="328"/>
      <c r="M112" s="621"/>
      <c r="N112" s="311"/>
      <c r="O112" s="329"/>
      <c r="P112" s="330"/>
      <c r="Q112" s="330" t="s">
        <v>129</v>
      </c>
      <c r="R112" s="331"/>
      <c r="S112" s="332"/>
      <c r="T112" s="333" t="s">
        <v>151</v>
      </c>
      <c r="U112" s="341"/>
      <c r="V112" s="335" t="s">
        <v>503</v>
      </c>
      <c r="W112" s="337" t="s">
        <v>529</v>
      </c>
      <c r="X112" s="338"/>
      <c r="Y112" s="340"/>
      <c r="Z112" s="338"/>
      <c r="AA112" s="336"/>
      <c r="AB112" s="216"/>
      <c r="AC112" s="80"/>
      <c r="AD112" s="349"/>
      <c r="AE112" s="718"/>
      <c r="AF112" s="315"/>
      <c r="AG112" s="315"/>
      <c r="AH112" s="319"/>
      <c r="AI112" s="347"/>
      <c r="AJ112" s="319"/>
      <c r="AK112" s="319"/>
      <c r="AL112" s="319"/>
      <c r="AM112" s="319"/>
      <c r="AN112" s="319"/>
      <c r="AO112" s="319"/>
      <c r="AP112" s="319"/>
      <c r="AQ112" s="319"/>
      <c r="AR112" s="319"/>
      <c r="AS112" s="319"/>
      <c r="AT112" s="319"/>
      <c r="AU112" s="319"/>
      <c r="AV112" s="319"/>
    </row>
    <row r="113" spans="1:48" s="296" customFormat="1" ht="38.25">
      <c r="A113" s="320">
        <v>84</v>
      </c>
      <c r="B113" s="321">
        <v>83</v>
      </c>
      <c r="C113" s="323" t="s">
        <v>288</v>
      </c>
      <c r="D113" s="323"/>
      <c r="E113" s="323" t="s">
        <v>198</v>
      </c>
      <c r="F113" s="337" t="s">
        <v>24</v>
      </c>
      <c r="G113" s="338" t="s">
        <v>530</v>
      </c>
      <c r="H113" s="338" t="s">
        <v>125</v>
      </c>
      <c r="I113" s="338"/>
      <c r="J113" s="326" t="s">
        <v>470</v>
      </c>
      <c r="K113" s="327"/>
      <c r="L113" s="338"/>
      <c r="M113" s="621"/>
      <c r="N113" s="311"/>
      <c r="O113" s="329"/>
      <c r="P113" s="330"/>
      <c r="Q113" s="330" t="s">
        <v>129</v>
      </c>
      <c r="R113" s="331"/>
      <c r="S113" s="332"/>
      <c r="T113" s="333" t="s">
        <v>151</v>
      </c>
      <c r="U113" s="341"/>
      <c r="V113" s="335" t="s">
        <v>503</v>
      </c>
      <c r="W113" s="337" t="s">
        <v>531</v>
      </c>
      <c r="X113" s="338"/>
      <c r="Y113" s="340"/>
      <c r="Z113" s="338"/>
      <c r="AA113" s="336"/>
      <c r="AB113" s="216"/>
      <c r="AC113" s="80"/>
      <c r="AD113" s="349"/>
      <c r="AE113" s="718"/>
      <c r="AF113" s="315"/>
      <c r="AG113" s="315"/>
      <c r="AH113" s="319"/>
      <c r="AI113" s="347"/>
      <c r="AJ113" s="319"/>
      <c r="AK113" s="319"/>
    </row>
    <row r="114" spans="1:48" s="296" customFormat="1" ht="38.25">
      <c r="A114" s="320">
        <v>85</v>
      </c>
      <c r="B114" s="321">
        <v>84</v>
      </c>
      <c r="C114" s="323" t="s">
        <v>288</v>
      </c>
      <c r="D114" s="323"/>
      <c r="E114" s="323" t="s">
        <v>198</v>
      </c>
      <c r="F114" s="337" t="s">
        <v>24</v>
      </c>
      <c r="G114" s="1006" t="s">
        <v>532</v>
      </c>
      <c r="H114" s="325" t="s">
        <v>125</v>
      </c>
      <c r="I114" s="325"/>
      <c r="J114" s="324" t="s">
        <v>470</v>
      </c>
      <c r="K114" s="327"/>
      <c r="L114" s="338"/>
      <c r="M114" s="621"/>
      <c r="N114" s="311"/>
      <c r="O114" s="329"/>
      <c r="P114" s="330"/>
      <c r="Q114" s="330" t="s">
        <v>129</v>
      </c>
      <c r="R114" s="331"/>
      <c r="S114" s="332"/>
      <c r="T114" s="333" t="s">
        <v>151</v>
      </c>
      <c r="U114" s="341"/>
      <c r="V114" s="335" t="s">
        <v>503</v>
      </c>
      <c r="W114" s="337" t="s">
        <v>533</v>
      </c>
      <c r="X114" s="338"/>
      <c r="Y114" s="340"/>
      <c r="Z114" s="338"/>
      <c r="AA114" s="336"/>
      <c r="AB114" s="216"/>
      <c r="AC114" s="80"/>
      <c r="AD114" s="349"/>
      <c r="AE114" s="718"/>
      <c r="AF114" s="315"/>
      <c r="AG114" s="315"/>
      <c r="AH114" s="319"/>
      <c r="AI114" s="347"/>
      <c r="AJ114" s="1003"/>
      <c r="AK114" s="347"/>
    </row>
    <row r="115" spans="1:48" s="296" customFormat="1" ht="38.25">
      <c r="A115" s="320">
        <v>86</v>
      </c>
      <c r="B115" s="321">
        <v>85</v>
      </c>
      <c r="C115" s="322" t="s">
        <v>288</v>
      </c>
      <c r="D115" s="636"/>
      <c r="E115" s="323" t="s">
        <v>198</v>
      </c>
      <c r="F115" s="315" t="s">
        <v>24</v>
      </c>
      <c r="G115" s="325" t="s">
        <v>534</v>
      </c>
      <c r="H115" s="325" t="s">
        <v>125</v>
      </c>
      <c r="I115" s="325"/>
      <c r="J115" s="324" t="s">
        <v>470</v>
      </c>
      <c r="K115" s="327"/>
      <c r="L115" s="338"/>
      <c r="M115" s="621"/>
      <c r="N115" s="311"/>
      <c r="O115" s="329"/>
      <c r="P115" s="330"/>
      <c r="Q115" s="330" t="s">
        <v>129</v>
      </c>
      <c r="R115" s="331"/>
      <c r="S115" s="332"/>
      <c r="T115" s="333" t="s">
        <v>151</v>
      </c>
      <c r="U115" s="334"/>
      <c r="V115" s="335" t="s">
        <v>503</v>
      </c>
      <c r="W115" s="315" t="s">
        <v>535</v>
      </c>
      <c r="X115" s="325"/>
      <c r="Y115" s="325"/>
      <c r="Z115" s="325"/>
      <c r="AA115" s="344"/>
      <c r="AB115" s="216"/>
      <c r="AC115" s="14"/>
      <c r="AD115" s="345"/>
      <c r="AE115" s="345"/>
      <c r="AF115" s="315"/>
      <c r="AG115" s="315"/>
      <c r="AH115" s="319"/>
      <c r="AI115" s="347"/>
      <c r="AJ115" s="1003"/>
      <c r="AK115" s="347"/>
    </row>
    <row r="116" spans="1:48" s="296" customFormat="1">
      <c r="A116" s="806">
        <v>87</v>
      </c>
      <c r="B116" s="807" t="s">
        <v>228</v>
      </c>
      <c r="C116" s="808" t="s">
        <v>288</v>
      </c>
      <c r="D116" s="809" t="s">
        <v>228</v>
      </c>
      <c r="E116" s="810" t="s">
        <v>169</v>
      </c>
      <c r="F116" s="811" t="s">
        <v>24</v>
      </c>
      <c r="G116" s="807" t="s">
        <v>536</v>
      </c>
      <c r="H116" s="811" t="s">
        <v>125</v>
      </c>
      <c r="I116" s="811" t="s">
        <v>228</v>
      </c>
      <c r="J116" s="810" t="s">
        <v>491</v>
      </c>
      <c r="K116" s="812" t="s">
        <v>228</v>
      </c>
      <c r="L116" s="813" t="s">
        <v>228</v>
      </c>
      <c r="M116" s="814" t="s">
        <v>228</v>
      </c>
      <c r="N116" s="806" t="s">
        <v>228</v>
      </c>
      <c r="O116" s="815" t="s">
        <v>228</v>
      </c>
      <c r="P116" s="815" t="s">
        <v>228</v>
      </c>
      <c r="Q116" s="815" t="s">
        <v>129</v>
      </c>
      <c r="R116" s="815" t="s">
        <v>228</v>
      </c>
      <c r="S116" s="816" t="s">
        <v>228</v>
      </c>
      <c r="T116" s="811" t="s">
        <v>151</v>
      </c>
      <c r="U116" s="811" t="s">
        <v>228</v>
      </c>
      <c r="V116" s="817" t="s">
        <v>492</v>
      </c>
      <c r="W116" s="818" t="s">
        <v>228</v>
      </c>
      <c r="X116" s="811" t="s">
        <v>228</v>
      </c>
      <c r="Y116" s="811" t="s">
        <v>228</v>
      </c>
      <c r="Z116" s="819" t="s">
        <v>228</v>
      </c>
      <c r="AA116" s="819" t="s">
        <v>228</v>
      </c>
      <c r="AB116" s="820" t="s">
        <v>228</v>
      </c>
      <c r="AC116" s="821" t="s">
        <v>228</v>
      </c>
      <c r="AD116" s="822" t="s">
        <v>228</v>
      </c>
      <c r="AE116" s="823" t="s">
        <v>228</v>
      </c>
      <c r="AF116" s="820" t="s">
        <v>228</v>
      </c>
      <c r="AG116" s="820" t="s">
        <v>228</v>
      </c>
      <c r="AH116" s="820" t="s">
        <v>228</v>
      </c>
      <c r="AI116" s="820" t="s">
        <v>228</v>
      </c>
      <c r="AJ116" s="295"/>
      <c r="AK116" s="293"/>
    </row>
    <row r="117" spans="1:48" s="296" customFormat="1">
      <c r="A117" s="824">
        <v>88</v>
      </c>
      <c r="B117" s="825">
        <v>87</v>
      </c>
      <c r="C117" s="826" t="s">
        <v>288</v>
      </c>
      <c r="D117" s="827" t="s">
        <v>228</v>
      </c>
      <c r="E117" s="825" t="s">
        <v>169</v>
      </c>
      <c r="F117" s="828" t="s">
        <v>24</v>
      </c>
      <c r="G117" s="825" t="s">
        <v>537</v>
      </c>
      <c r="H117" s="828" t="s">
        <v>125</v>
      </c>
      <c r="I117" s="828" t="s">
        <v>228</v>
      </c>
      <c r="J117" s="825" t="s">
        <v>296</v>
      </c>
      <c r="K117" s="829" t="s">
        <v>228</v>
      </c>
      <c r="L117" s="830" t="s">
        <v>228</v>
      </c>
      <c r="M117" s="826" t="s">
        <v>228</v>
      </c>
      <c r="N117" s="824" t="s">
        <v>228</v>
      </c>
      <c r="O117" s="831" t="s">
        <v>228</v>
      </c>
      <c r="P117" s="831" t="s">
        <v>228</v>
      </c>
      <c r="Q117" s="831" t="s">
        <v>129</v>
      </c>
      <c r="R117" s="831" t="s">
        <v>228</v>
      </c>
      <c r="S117" s="832" t="s">
        <v>228</v>
      </c>
      <c r="T117" s="833" t="s">
        <v>151</v>
      </c>
      <c r="U117" s="821" t="s">
        <v>228</v>
      </c>
      <c r="V117" s="830" t="s">
        <v>495</v>
      </c>
      <c r="W117" s="130" t="s">
        <v>228</v>
      </c>
      <c r="X117" s="833" t="s">
        <v>228</v>
      </c>
      <c r="Y117" s="833" t="s">
        <v>228</v>
      </c>
      <c r="Z117" s="834" t="s">
        <v>228</v>
      </c>
      <c r="AA117" s="834" t="s">
        <v>228</v>
      </c>
      <c r="AB117" s="820" t="s">
        <v>228</v>
      </c>
      <c r="AC117" s="821" t="s">
        <v>228</v>
      </c>
      <c r="AD117" s="822" t="s">
        <v>228</v>
      </c>
      <c r="AE117" s="835" t="s">
        <v>228</v>
      </c>
      <c r="AF117" s="820" t="s">
        <v>228</v>
      </c>
      <c r="AG117" s="820" t="s">
        <v>228</v>
      </c>
      <c r="AH117" s="820" t="s">
        <v>228</v>
      </c>
      <c r="AI117" s="820" t="s">
        <v>228</v>
      </c>
      <c r="AJ117" s="295"/>
      <c r="AK117" s="293"/>
    </row>
    <row r="118" spans="1:48" s="296" customFormat="1">
      <c r="A118" s="824">
        <v>89</v>
      </c>
      <c r="B118" s="825">
        <v>88</v>
      </c>
      <c r="C118" s="826" t="s">
        <v>288</v>
      </c>
      <c r="D118" s="827" t="s">
        <v>228</v>
      </c>
      <c r="E118" s="825" t="s">
        <v>169</v>
      </c>
      <c r="F118" s="828" t="s">
        <v>24</v>
      </c>
      <c r="G118" s="825" t="s">
        <v>538</v>
      </c>
      <c r="H118" s="828" t="s">
        <v>125</v>
      </c>
      <c r="I118" s="828" t="s">
        <v>228</v>
      </c>
      <c r="J118" s="825" t="s">
        <v>463</v>
      </c>
      <c r="K118" s="829" t="s">
        <v>228</v>
      </c>
      <c r="L118" s="830" t="s">
        <v>228</v>
      </c>
      <c r="M118" s="826" t="s">
        <v>228</v>
      </c>
      <c r="N118" s="824" t="s">
        <v>228</v>
      </c>
      <c r="O118" s="831" t="s">
        <v>228</v>
      </c>
      <c r="P118" s="831" t="s">
        <v>228</v>
      </c>
      <c r="Q118" s="831" t="s">
        <v>129</v>
      </c>
      <c r="R118" s="831" t="s">
        <v>228</v>
      </c>
      <c r="S118" s="832" t="s">
        <v>228</v>
      </c>
      <c r="T118" s="833" t="s">
        <v>151</v>
      </c>
      <c r="U118" s="817" t="s">
        <v>228</v>
      </c>
      <c r="V118" s="828" t="s">
        <v>498</v>
      </c>
      <c r="W118" s="130" t="s">
        <v>228</v>
      </c>
      <c r="X118" s="833" t="s">
        <v>228</v>
      </c>
      <c r="Y118" s="833" t="s">
        <v>228</v>
      </c>
      <c r="Z118" s="834" t="s">
        <v>228</v>
      </c>
      <c r="AA118" s="834" t="s">
        <v>228</v>
      </c>
      <c r="AB118" s="820" t="s">
        <v>228</v>
      </c>
      <c r="AC118" s="821" t="s">
        <v>228</v>
      </c>
      <c r="AD118" s="822" t="s">
        <v>228</v>
      </c>
      <c r="AE118" s="835" t="s">
        <v>228</v>
      </c>
      <c r="AF118" s="820" t="s">
        <v>228</v>
      </c>
      <c r="AG118" s="820" t="s">
        <v>228</v>
      </c>
      <c r="AH118" s="820" t="s">
        <v>228</v>
      </c>
      <c r="AI118" s="820" t="s">
        <v>228</v>
      </c>
      <c r="AJ118" s="295"/>
      <c r="AK118" s="293"/>
    </row>
    <row r="119" spans="1:48" s="296" customFormat="1">
      <c r="A119" s="824">
        <v>90</v>
      </c>
      <c r="B119" s="825">
        <v>89</v>
      </c>
      <c r="C119" s="826" t="s">
        <v>288</v>
      </c>
      <c r="D119" s="827" t="s">
        <v>228</v>
      </c>
      <c r="E119" s="825" t="s">
        <v>169</v>
      </c>
      <c r="F119" s="833" t="s">
        <v>24</v>
      </c>
      <c r="G119" s="825" t="s">
        <v>539</v>
      </c>
      <c r="H119" s="828" t="s">
        <v>125</v>
      </c>
      <c r="I119" s="821" t="s">
        <v>228</v>
      </c>
      <c r="J119" s="836" t="s">
        <v>467</v>
      </c>
      <c r="K119" s="829" t="s">
        <v>228</v>
      </c>
      <c r="L119" s="830" t="s">
        <v>228</v>
      </c>
      <c r="M119" s="826" t="s">
        <v>228</v>
      </c>
      <c r="N119" s="824" t="s">
        <v>228</v>
      </c>
      <c r="O119" s="831" t="s">
        <v>228</v>
      </c>
      <c r="P119" s="831" t="s">
        <v>228</v>
      </c>
      <c r="Q119" s="831" t="s">
        <v>129</v>
      </c>
      <c r="R119" s="831" t="s">
        <v>228</v>
      </c>
      <c r="S119" s="832" t="s">
        <v>228</v>
      </c>
      <c r="T119" s="833" t="s">
        <v>151</v>
      </c>
      <c r="U119" s="828" t="s">
        <v>228</v>
      </c>
      <c r="V119" s="828" t="s">
        <v>498</v>
      </c>
      <c r="W119" s="130" t="s">
        <v>228</v>
      </c>
      <c r="X119" s="833" t="s">
        <v>228</v>
      </c>
      <c r="Y119" s="833" t="s">
        <v>228</v>
      </c>
      <c r="Z119" s="834" t="s">
        <v>228</v>
      </c>
      <c r="AA119" s="834" t="s">
        <v>228</v>
      </c>
      <c r="AB119" s="820" t="s">
        <v>228</v>
      </c>
      <c r="AC119" s="821" t="s">
        <v>228</v>
      </c>
      <c r="AD119" s="822" t="s">
        <v>228</v>
      </c>
      <c r="AE119" s="835" t="s">
        <v>228</v>
      </c>
      <c r="AF119" s="820" t="s">
        <v>228</v>
      </c>
      <c r="AG119" s="820" t="s">
        <v>228</v>
      </c>
      <c r="AH119" s="820" t="s">
        <v>228</v>
      </c>
      <c r="AI119" s="820" t="s">
        <v>228</v>
      </c>
      <c r="AJ119" s="295"/>
      <c r="AK119" s="293"/>
    </row>
    <row r="120" spans="1:48" s="296" customFormat="1">
      <c r="A120" s="824">
        <v>91</v>
      </c>
      <c r="B120" s="825">
        <v>90</v>
      </c>
      <c r="C120" s="826" t="s">
        <v>288</v>
      </c>
      <c r="D120" s="827" t="s">
        <v>228</v>
      </c>
      <c r="E120" s="825" t="s">
        <v>169</v>
      </c>
      <c r="F120" s="828" t="s">
        <v>24</v>
      </c>
      <c r="G120" s="837" t="s">
        <v>540</v>
      </c>
      <c r="H120" s="833" t="s">
        <v>125</v>
      </c>
      <c r="I120" s="811" t="s">
        <v>228</v>
      </c>
      <c r="J120" s="807" t="s">
        <v>470</v>
      </c>
      <c r="K120" s="829" t="s">
        <v>228</v>
      </c>
      <c r="L120" s="830" t="s">
        <v>228</v>
      </c>
      <c r="M120" s="826" t="s">
        <v>228</v>
      </c>
      <c r="N120" s="824" t="s">
        <v>228</v>
      </c>
      <c r="O120" s="831" t="s">
        <v>228</v>
      </c>
      <c r="P120" s="831" t="s">
        <v>228</v>
      </c>
      <c r="Q120" s="831" t="s">
        <v>129</v>
      </c>
      <c r="R120" s="831" t="s">
        <v>228</v>
      </c>
      <c r="S120" s="832" t="s">
        <v>228</v>
      </c>
      <c r="T120" s="833" t="s">
        <v>151</v>
      </c>
      <c r="U120" s="828" t="s">
        <v>228</v>
      </c>
      <c r="V120" s="828" t="s">
        <v>503</v>
      </c>
      <c r="W120" s="130" t="s">
        <v>228</v>
      </c>
      <c r="X120" s="833" t="s">
        <v>228</v>
      </c>
      <c r="Y120" s="838" t="s">
        <v>228</v>
      </c>
      <c r="Z120" s="839" t="s">
        <v>228</v>
      </c>
      <c r="AA120" s="839" t="s">
        <v>228</v>
      </c>
      <c r="AB120" s="820" t="s">
        <v>228</v>
      </c>
      <c r="AC120" s="821" t="s">
        <v>228</v>
      </c>
      <c r="AD120" s="822" t="s">
        <v>228</v>
      </c>
      <c r="AE120" s="835" t="s">
        <v>228</v>
      </c>
      <c r="AF120" s="820" t="s">
        <v>228</v>
      </c>
      <c r="AG120" s="820" t="s">
        <v>228</v>
      </c>
      <c r="AH120" s="820" t="s">
        <v>228</v>
      </c>
      <c r="AI120" s="820" t="s">
        <v>228</v>
      </c>
      <c r="AJ120" s="295"/>
      <c r="AK120" s="293"/>
    </row>
    <row r="121" spans="1:48" s="514" customFormat="1">
      <c r="A121" s="824">
        <v>92</v>
      </c>
      <c r="B121" s="825">
        <v>91</v>
      </c>
      <c r="C121" s="840" t="s">
        <v>288</v>
      </c>
      <c r="D121" s="827" t="s">
        <v>228</v>
      </c>
      <c r="E121" s="825" t="s">
        <v>169</v>
      </c>
      <c r="F121" s="833" t="s">
        <v>24</v>
      </c>
      <c r="G121" s="837" t="s">
        <v>541</v>
      </c>
      <c r="H121" s="833" t="s">
        <v>125</v>
      </c>
      <c r="I121" s="833" t="s">
        <v>228</v>
      </c>
      <c r="J121" s="837" t="s">
        <v>470</v>
      </c>
      <c r="K121" s="829" t="s">
        <v>228</v>
      </c>
      <c r="L121" s="830" t="s">
        <v>228</v>
      </c>
      <c r="M121" s="826" t="s">
        <v>228</v>
      </c>
      <c r="N121" s="824" t="s">
        <v>228</v>
      </c>
      <c r="O121" s="831" t="s">
        <v>228</v>
      </c>
      <c r="P121" s="831" t="s">
        <v>228</v>
      </c>
      <c r="Q121" s="831" t="s">
        <v>129</v>
      </c>
      <c r="R121" s="831" t="s">
        <v>228</v>
      </c>
      <c r="S121" s="832" t="s">
        <v>228</v>
      </c>
      <c r="T121" s="833" t="s">
        <v>151</v>
      </c>
      <c r="U121" s="833" t="s">
        <v>228</v>
      </c>
      <c r="V121" s="828" t="s">
        <v>503</v>
      </c>
      <c r="W121" s="130" t="s">
        <v>228</v>
      </c>
      <c r="X121" s="833" t="s">
        <v>228</v>
      </c>
      <c r="Y121" s="833" t="s">
        <v>228</v>
      </c>
      <c r="Z121" s="819" t="s">
        <v>228</v>
      </c>
      <c r="AA121" s="819" t="s">
        <v>228</v>
      </c>
      <c r="AB121" s="841" t="s">
        <v>228</v>
      </c>
      <c r="AC121" s="811" t="s">
        <v>228</v>
      </c>
      <c r="AD121" s="819" t="s">
        <v>228</v>
      </c>
      <c r="AE121" s="833" t="s">
        <v>228</v>
      </c>
      <c r="AF121" s="820" t="s">
        <v>228</v>
      </c>
      <c r="AG121" s="820" t="s">
        <v>228</v>
      </c>
      <c r="AH121" s="820" t="s">
        <v>228</v>
      </c>
      <c r="AI121" s="820" t="s">
        <v>228</v>
      </c>
      <c r="AJ121" s="295"/>
      <c r="AK121" s="293"/>
      <c r="AL121" s="296"/>
      <c r="AM121" s="296"/>
      <c r="AN121" s="296"/>
      <c r="AO121" s="296"/>
      <c r="AP121" s="296"/>
      <c r="AQ121" s="296"/>
      <c r="AR121" s="296"/>
      <c r="AS121" s="296"/>
      <c r="AT121" s="296"/>
      <c r="AU121" s="296"/>
      <c r="AV121" s="296"/>
    </row>
    <row r="122" spans="1:48" s="514" customFormat="1">
      <c r="A122" s="824">
        <v>93</v>
      </c>
      <c r="B122" s="825">
        <v>92</v>
      </c>
      <c r="C122" s="826" t="s">
        <v>288</v>
      </c>
      <c r="D122" s="827" t="s">
        <v>228</v>
      </c>
      <c r="E122" s="825" t="s">
        <v>169</v>
      </c>
      <c r="F122" s="828" t="s">
        <v>24</v>
      </c>
      <c r="G122" s="825" t="s">
        <v>542</v>
      </c>
      <c r="H122" s="828" t="s">
        <v>125</v>
      </c>
      <c r="I122" s="828" t="s">
        <v>228</v>
      </c>
      <c r="J122" s="825" t="s">
        <v>470</v>
      </c>
      <c r="K122" s="829" t="s">
        <v>228</v>
      </c>
      <c r="L122" s="830" t="s">
        <v>228</v>
      </c>
      <c r="M122" s="826" t="s">
        <v>228</v>
      </c>
      <c r="N122" s="824" t="s">
        <v>228</v>
      </c>
      <c r="O122" s="831" t="s">
        <v>228</v>
      </c>
      <c r="P122" s="831" t="s">
        <v>228</v>
      </c>
      <c r="Q122" s="831" t="s">
        <v>129</v>
      </c>
      <c r="R122" s="831" t="s">
        <v>228</v>
      </c>
      <c r="S122" s="832" t="s">
        <v>228</v>
      </c>
      <c r="T122" s="833" t="s">
        <v>151</v>
      </c>
      <c r="U122" s="828" t="s">
        <v>228</v>
      </c>
      <c r="V122" s="828" t="s">
        <v>503</v>
      </c>
      <c r="W122" s="842" t="s">
        <v>228</v>
      </c>
      <c r="X122" s="833" t="s">
        <v>228</v>
      </c>
      <c r="Y122" s="833" t="s">
        <v>228</v>
      </c>
      <c r="Z122" s="833" t="s">
        <v>228</v>
      </c>
      <c r="AA122" s="833" t="s">
        <v>228</v>
      </c>
      <c r="AB122" s="843" t="s">
        <v>228</v>
      </c>
      <c r="AC122" s="833" t="s">
        <v>228</v>
      </c>
      <c r="AD122" s="834" t="s">
        <v>228</v>
      </c>
      <c r="AE122" s="833" t="s">
        <v>228</v>
      </c>
      <c r="AF122" s="820" t="s">
        <v>228</v>
      </c>
      <c r="AG122" s="820" t="s">
        <v>228</v>
      </c>
      <c r="AH122" s="820" t="s">
        <v>228</v>
      </c>
      <c r="AI122" s="820" t="s">
        <v>228</v>
      </c>
      <c r="AJ122" s="295"/>
      <c r="AK122" s="293"/>
      <c r="AL122" s="296"/>
      <c r="AM122" s="296"/>
      <c r="AN122" s="296"/>
      <c r="AO122" s="296"/>
      <c r="AP122" s="296"/>
      <c r="AQ122" s="296"/>
      <c r="AR122" s="296"/>
      <c r="AS122" s="296"/>
      <c r="AT122" s="296"/>
      <c r="AU122" s="296"/>
      <c r="AV122" s="296"/>
    </row>
    <row r="123" spans="1:48" s="537" customFormat="1">
      <c r="A123" s="824">
        <v>94</v>
      </c>
      <c r="B123" s="825">
        <v>93</v>
      </c>
      <c r="C123" s="826" t="s">
        <v>288</v>
      </c>
      <c r="D123" s="827" t="s">
        <v>228</v>
      </c>
      <c r="E123" s="825" t="s">
        <v>169</v>
      </c>
      <c r="F123" s="828" t="s">
        <v>24</v>
      </c>
      <c r="G123" s="837" t="s">
        <v>543</v>
      </c>
      <c r="H123" s="833" t="s">
        <v>125</v>
      </c>
      <c r="I123" s="833" t="s">
        <v>228</v>
      </c>
      <c r="J123" s="837" t="s">
        <v>470</v>
      </c>
      <c r="K123" s="829" t="s">
        <v>228</v>
      </c>
      <c r="L123" s="830" t="s">
        <v>228</v>
      </c>
      <c r="M123" s="826" t="s">
        <v>228</v>
      </c>
      <c r="N123" s="824" t="s">
        <v>228</v>
      </c>
      <c r="O123" s="831" t="s">
        <v>228</v>
      </c>
      <c r="P123" s="831" t="s">
        <v>228</v>
      </c>
      <c r="Q123" s="831" t="s">
        <v>129</v>
      </c>
      <c r="R123" s="831" t="s">
        <v>228</v>
      </c>
      <c r="S123" s="832" t="s">
        <v>228</v>
      </c>
      <c r="T123" s="833" t="s">
        <v>151</v>
      </c>
      <c r="U123" s="828" t="s">
        <v>228</v>
      </c>
      <c r="V123" s="828" t="s">
        <v>503</v>
      </c>
      <c r="W123" s="842" t="s">
        <v>228</v>
      </c>
      <c r="X123" s="833" t="s">
        <v>228</v>
      </c>
      <c r="Y123" s="833" t="s">
        <v>228</v>
      </c>
      <c r="Z123" s="833" t="s">
        <v>228</v>
      </c>
      <c r="AA123" s="833" t="s">
        <v>228</v>
      </c>
      <c r="AB123" s="843" t="s">
        <v>228</v>
      </c>
      <c r="AC123" s="833" t="s">
        <v>228</v>
      </c>
      <c r="AD123" s="834" t="s">
        <v>228</v>
      </c>
      <c r="AE123" s="833" t="s">
        <v>228</v>
      </c>
      <c r="AF123" s="844" t="s">
        <v>228</v>
      </c>
      <c r="AG123" s="844" t="s">
        <v>228</v>
      </c>
      <c r="AH123" s="844" t="s">
        <v>228</v>
      </c>
      <c r="AI123" s="844" t="s">
        <v>228</v>
      </c>
      <c r="AJ123" s="294"/>
      <c r="AK123" s="293"/>
      <c r="AL123" s="296"/>
      <c r="AM123" s="296"/>
      <c r="AN123" s="296"/>
      <c r="AO123" s="296"/>
      <c r="AP123" s="296"/>
      <c r="AQ123" s="296"/>
      <c r="AR123" s="296"/>
      <c r="AS123" s="296"/>
      <c r="AT123" s="296"/>
      <c r="AU123" s="296"/>
      <c r="AV123" s="296"/>
    </row>
    <row r="124" spans="1:48" s="537" customFormat="1" ht="25.5" customHeight="1">
      <c r="A124" s="845">
        <v>87</v>
      </c>
      <c r="B124" s="846" t="s">
        <v>228</v>
      </c>
      <c r="C124" s="846" t="s">
        <v>288</v>
      </c>
      <c r="D124" s="847" t="s">
        <v>228</v>
      </c>
      <c r="E124" s="848" t="s">
        <v>176</v>
      </c>
      <c r="F124" s="849" t="s">
        <v>24</v>
      </c>
      <c r="G124" s="846" t="s">
        <v>490</v>
      </c>
      <c r="H124" s="849" t="s">
        <v>125</v>
      </c>
      <c r="I124" s="849" t="s">
        <v>228</v>
      </c>
      <c r="J124" s="850" t="s">
        <v>491</v>
      </c>
      <c r="K124" s="851" t="s">
        <v>228</v>
      </c>
      <c r="L124" s="852" t="s">
        <v>228</v>
      </c>
      <c r="M124" s="853" t="s">
        <v>228</v>
      </c>
      <c r="N124" s="845" t="s">
        <v>228</v>
      </c>
      <c r="O124" s="854" t="s">
        <v>228</v>
      </c>
      <c r="P124" s="854" t="s">
        <v>228</v>
      </c>
      <c r="Q124" s="854" t="s">
        <v>129</v>
      </c>
      <c r="R124" s="854" t="s">
        <v>228</v>
      </c>
      <c r="S124" s="855" t="s">
        <v>228</v>
      </c>
      <c r="T124" s="849" t="s">
        <v>151</v>
      </c>
      <c r="U124" s="849" t="s">
        <v>228</v>
      </c>
      <c r="V124" s="856" t="s">
        <v>492</v>
      </c>
      <c r="W124" s="857" t="s">
        <v>228</v>
      </c>
      <c r="X124" s="849" t="s">
        <v>228</v>
      </c>
      <c r="Y124" s="849" t="s">
        <v>228</v>
      </c>
      <c r="Z124" s="857" t="s">
        <v>228</v>
      </c>
      <c r="AA124" s="857" t="s">
        <v>228</v>
      </c>
      <c r="AB124" s="858" t="s">
        <v>228</v>
      </c>
      <c r="AC124" s="859" t="s">
        <v>228</v>
      </c>
      <c r="AD124" s="860" t="s">
        <v>228</v>
      </c>
      <c r="AE124" s="861" t="s">
        <v>228</v>
      </c>
      <c r="AF124" s="858" t="s">
        <v>228</v>
      </c>
      <c r="AG124" s="858" t="s">
        <v>228</v>
      </c>
      <c r="AH124" s="858" t="s">
        <v>228</v>
      </c>
      <c r="AI124" s="858" t="s">
        <v>228</v>
      </c>
      <c r="AJ124" s="294"/>
      <c r="AK124" s="293"/>
      <c r="AL124" s="296"/>
      <c r="AM124" s="296"/>
      <c r="AN124" s="296"/>
      <c r="AO124" s="296"/>
      <c r="AP124" s="296"/>
      <c r="AQ124" s="296"/>
      <c r="AR124" s="296"/>
      <c r="AS124" s="296"/>
      <c r="AT124" s="296"/>
      <c r="AU124" s="296"/>
      <c r="AV124" s="296"/>
    </row>
    <row r="125" spans="1:48" s="537" customFormat="1">
      <c r="A125" s="845">
        <v>88</v>
      </c>
      <c r="B125" s="850">
        <v>87</v>
      </c>
      <c r="C125" s="850" t="s">
        <v>288</v>
      </c>
      <c r="D125" s="862" t="s">
        <v>228</v>
      </c>
      <c r="E125" s="850" t="s">
        <v>176</v>
      </c>
      <c r="F125" s="856" t="s">
        <v>24</v>
      </c>
      <c r="G125" s="850" t="s">
        <v>537</v>
      </c>
      <c r="H125" s="856" t="s">
        <v>125</v>
      </c>
      <c r="I125" s="856" t="s">
        <v>228</v>
      </c>
      <c r="J125" s="850" t="s">
        <v>296</v>
      </c>
      <c r="K125" s="851" t="s">
        <v>228</v>
      </c>
      <c r="L125" s="852" t="s">
        <v>228</v>
      </c>
      <c r="M125" s="853" t="s">
        <v>228</v>
      </c>
      <c r="N125" s="845" t="s">
        <v>228</v>
      </c>
      <c r="O125" s="854" t="s">
        <v>228</v>
      </c>
      <c r="P125" s="854" t="s">
        <v>228</v>
      </c>
      <c r="Q125" s="854" t="s">
        <v>129</v>
      </c>
      <c r="R125" s="854" t="s">
        <v>228</v>
      </c>
      <c r="S125" s="855" t="s">
        <v>228</v>
      </c>
      <c r="T125" s="849" t="s">
        <v>151</v>
      </c>
      <c r="U125" s="859" t="s">
        <v>228</v>
      </c>
      <c r="V125" s="852" t="s">
        <v>495</v>
      </c>
      <c r="W125" s="861" t="s">
        <v>228</v>
      </c>
      <c r="X125" s="849" t="s">
        <v>228</v>
      </c>
      <c r="Y125" s="849" t="s">
        <v>228</v>
      </c>
      <c r="Z125" s="857" t="s">
        <v>228</v>
      </c>
      <c r="AA125" s="857" t="s">
        <v>228</v>
      </c>
      <c r="AB125" s="858" t="s">
        <v>228</v>
      </c>
      <c r="AC125" s="859" t="s">
        <v>228</v>
      </c>
      <c r="AD125" s="860" t="s">
        <v>228</v>
      </c>
      <c r="AE125" s="861" t="s">
        <v>228</v>
      </c>
      <c r="AF125" s="858" t="s">
        <v>228</v>
      </c>
      <c r="AG125" s="858" t="s">
        <v>228</v>
      </c>
      <c r="AH125" s="858" t="s">
        <v>228</v>
      </c>
      <c r="AI125" s="858" t="s">
        <v>228</v>
      </c>
      <c r="AJ125" s="294"/>
      <c r="AK125" s="293"/>
      <c r="AL125" s="514"/>
      <c r="AM125" s="514"/>
      <c r="AN125" s="514"/>
      <c r="AO125" s="514"/>
      <c r="AP125" s="514"/>
      <c r="AQ125" s="514"/>
      <c r="AR125" s="514"/>
      <c r="AS125" s="514"/>
      <c r="AT125" s="514"/>
      <c r="AU125" s="514"/>
      <c r="AV125" s="514"/>
    </row>
    <row r="126" spans="1:48" s="537" customFormat="1" ht="15" customHeight="1">
      <c r="A126" s="845">
        <v>89</v>
      </c>
      <c r="B126" s="850">
        <v>88</v>
      </c>
      <c r="C126" s="850" t="s">
        <v>288</v>
      </c>
      <c r="D126" s="850" t="s">
        <v>228</v>
      </c>
      <c r="E126" s="850" t="s">
        <v>176</v>
      </c>
      <c r="F126" s="856" t="s">
        <v>24</v>
      </c>
      <c r="G126" s="850" t="s">
        <v>538</v>
      </c>
      <c r="H126" s="856" t="s">
        <v>125</v>
      </c>
      <c r="I126" s="856" t="s">
        <v>228</v>
      </c>
      <c r="J126" s="850" t="s">
        <v>463</v>
      </c>
      <c r="K126" s="851" t="s">
        <v>228</v>
      </c>
      <c r="L126" s="852" t="s">
        <v>228</v>
      </c>
      <c r="M126" s="853" t="s">
        <v>228</v>
      </c>
      <c r="N126" s="845" t="s">
        <v>228</v>
      </c>
      <c r="O126" s="854" t="s">
        <v>228</v>
      </c>
      <c r="P126" s="854" t="s">
        <v>228</v>
      </c>
      <c r="Q126" s="854" t="s">
        <v>129</v>
      </c>
      <c r="R126" s="854" t="s">
        <v>228</v>
      </c>
      <c r="S126" s="855" t="s">
        <v>228</v>
      </c>
      <c r="T126" s="849" t="s">
        <v>151</v>
      </c>
      <c r="U126" s="863" t="s">
        <v>228</v>
      </c>
      <c r="V126" s="856" t="s">
        <v>498</v>
      </c>
      <c r="W126" s="861" t="s">
        <v>228</v>
      </c>
      <c r="X126" s="849" t="s">
        <v>228</v>
      </c>
      <c r="Y126" s="849" t="s">
        <v>228</v>
      </c>
      <c r="Z126" s="857" t="s">
        <v>228</v>
      </c>
      <c r="AA126" s="857" t="s">
        <v>228</v>
      </c>
      <c r="AB126" s="858" t="s">
        <v>228</v>
      </c>
      <c r="AC126" s="859" t="s">
        <v>228</v>
      </c>
      <c r="AD126" s="860" t="s">
        <v>228</v>
      </c>
      <c r="AE126" s="861" t="s">
        <v>228</v>
      </c>
      <c r="AF126" s="858" t="s">
        <v>228</v>
      </c>
      <c r="AG126" s="858" t="s">
        <v>228</v>
      </c>
      <c r="AH126" s="858" t="s">
        <v>228</v>
      </c>
      <c r="AI126" s="858" t="s">
        <v>228</v>
      </c>
      <c r="AJ126" s="294"/>
      <c r="AK126" s="293"/>
      <c r="AL126" s="514"/>
      <c r="AM126" s="514"/>
      <c r="AN126" s="514"/>
      <c r="AO126" s="514"/>
      <c r="AP126" s="514"/>
      <c r="AQ126" s="514"/>
      <c r="AR126" s="514"/>
      <c r="AS126" s="514"/>
      <c r="AT126" s="514"/>
      <c r="AU126" s="514"/>
      <c r="AV126" s="514"/>
    </row>
    <row r="127" spans="1:48" s="537" customFormat="1">
      <c r="A127" s="845">
        <v>90</v>
      </c>
      <c r="B127" s="850">
        <v>89</v>
      </c>
      <c r="C127" s="850" t="s">
        <v>288</v>
      </c>
      <c r="D127" s="850" t="s">
        <v>228</v>
      </c>
      <c r="E127" s="850" t="s">
        <v>176</v>
      </c>
      <c r="F127" s="849" t="s">
        <v>24</v>
      </c>
      <c r="G127" s="850" t="s">
        <v>539</v>
      </c>
      <c r="H127" s="856" t="s">
        <v>125</v>
      </c>
      <c r="I127" s="859" t="s">
        <v>228</v>
      </c>
      <c r="J127" s="864" t="s">
        <v>467</v>
      </c>
      <c r="K127" s="851" t="s">
        <v>228</v>
      </c>
      <c r="L127" s="852" t="s">
        <v>228</v>
      </c>
      <c r="M127" s="853" t="s">
        <v>228</v>
      </c>
      <c r="N127" s="845" t="s">
        <v>228</v>
      </c>
      <c r="O127" s="854" t="s">
        <v>228</v>
      </c>
      <c r="P127" s="854" t="s">
        <v>228</v>
      </c>
      <c r="Q127" s="854" t="s">
        <v>129</v>
      </c>
      <c r="R127" s="854" t="s">
        <v>228</v>
      </c>
      <c r="S127" s="855" t="s">
        <v>228</v>
      </c>
      <c r="T127" s="849" t="s">
        <v>151</v>
      </c>
      <c r="U127" s="856" t="s">
        <v>228</v>
      </c>
      <c r="V127" s="856" t="s">
        <v>498</v>
      </c>
      <c r="W127" s="861" t="s">
        <v>228</v>
      </c>
      <c r="X127" s="849" t="s">
        <v>228</v>
      </c>
      <c r="Y127" s="849" t="s">
        <v>228</v>
      </c>
      <c r="Z127" s="857" t="s">
        <v>228</v>
      </c>
      <c r="AA127" s="857" t="s">
        <v>228</v>
      </c>
      <c r="AB127" s="858" t="s">
        <v>228</v>
      </c>
      <c r="AC127" s="859" t="s">
        <v>228</v>
      </c>
      <c r="AD127" s="860" t="s">
        <v>228</v>
      </c>
      <c r="AE127" s="861" t="s">
        <v>228</v>
      </c>
      <c r="AF127" s="858" t="s">
        <v>228</v>
      </c>
      <c r="AG127" s="858" t="s">
        <v>228</v>
      </c>
      <c r="AH127" s="858" t="s">
        <v>228</v>
      </c>
      <c r="AI127" s="858" t="s">
        <v>228</v>
      </c>
      <c r="AJ127" s="294"/>
      <c r="AK127" s="293"/>
    </row>
    <row r="128" spans="1:48" s="537" customFormat="1" ht="15" customHeight="1">
      <c r="A128" s="845">
        <v>91</v>
      </c>
      <c r="B128" s="850">
        <v>90</v>
      </c>
      <c r="C128" s="850" t="s">
        <v>288</v>
      </c>
      <c r="D128" s="850" t="s">
        <v>228</v>
      </c>
      <c r="E128" s="850" t="s">
        <v>176</v>
      </c>
      <c r="F128" s="856" t="s">
        <v>24</v>
      </c>
      <c r="G128" s="846" t="s">
        <v>544</v>
      </c>
      <c r="H128" s="849" t="s">
        <v>125</v>
      </c>
      <c r="I128" s="865" t="s">
        <v>228</v>
      </c>
      <c r="J128" s="866" t="s">
        <v>470</v>
      </c>
      <c r="K128" s="851" t="s">
        <v>228</v>
      </c>
      <c r="L128" s="852" t="s">
        <v>228</v>
      </c>
      <c r="M128" s="853" t="s">
        <v>228</v>
      </c>
      <c r="N128" s="845" t="s">
        <v>228</v>
      </c>
      <c r="O128" s="854" t="s">
        <v>228</v>
      </c>
      <c r="P128" s="854" t="s">
        <v>228</v>
      </c>
      <c r="Q128" s="854" t="s">
        <v>129</v>
      </c>
      <c r="R128" s="854" t="s">
        <v>228</v>
      </c>
      <c r="S128" s="855" t="s">
        <v>228</v>
      </c>
      <c r="T128" s="849" t="s">
        <v>151</v>
      </c>
      <c r="U128" s="856" t="s">
        <v>228</v>
      </c>
      <c r="V128" s="856" t="s">
        <v>503</v>
      </c>
      <c r="W128" s="861" t="s">
        <v>228</v>
      </c>
      <c r="X128" s="849" t="s">
        <v>228</v>
      </c>
      <c r="Y128" s="867" t="s">
        <v>228</v>
      </c>
      <c r="Z128" s="868" t="s">
        <v>228</v>
      </c>
      <c r="AA128" s="868" t="s">
        <v>228</v>
      </c>
      <c r="AB128" s="858" t="s">
        <v>228</v>
      </c>
      <c r="AC128" s="859" t="s">
        <v>228</v>
      </c>
      <c r="AD128" s="860" t="s">
        <v>228</v>
      </c>
      <c r="AE128" s="861" t="s">
        <v>228</v>
      </c>
      <c r="AF128" s="858" t="s">
        <v>228</v>
      </c>
      <c r="AG128" s="858" t="s">
        <v>228</v>
      </c>
      <c r="AH128" s="858" t="s">
        <v>228</v>
      </c>
      <c r="AI128" s="858" t="s">
        <v>228</v>
      </c>
      <c r="AJ128" s="512"/>
      <c r="AK128" s="513"/>
    </row>
    <row r="129" spans="1:48" s="537" customFormat="1" ht="15" customHeight="1">
      <c r="A129" s="845">
        <v>92</v>
      </c>
      <c r="B129" s="850">
        <v>91</v>
      </c>
      <c r="C129" s="846" t="s">
        <v>288</v>
      </c>
      <c r="D129" s="847" t="s">
        <v>228</v>
      </c>
      <c r="E129" s="848" t="s">
        <v>176</v>
      </c>
      <c r="F129" s="849" t="s">
        <v>24</v>
      </c>
      <c r="G129" s="846" t="s">
        <v>545</v>
      </c>
      <c r="H129" s="849" t="s">
        <v>125</v>
      </c>
      <c r="I129" s="849" t="s">
        <v>228</v>
      </c>
      <c r="J129" s="846" t="s">
        <v>470</v>
      </c>
      <c r="K129" s="851" t="s">
        <v>228</v>
      </c>
      <c r="L129" s="852" t="s">
        <v>228</v>
      </c>
      <c r="M129" s="853" t="s">
        <v>228</v>
      </c>
      <c r="N129" s="845" t="s">
        <v>228</v>
      </c>
      <c r="O129" s="854" t="s">
        <v>228</v>
      </c>
      <c r="P129" s="854" t="s">
        <v>228</v>
      </c>
      <c r="Q129" s="854" t="s">
        <v>129</v>
      </c>
      <c r="R129" s="854" t="s">
        <v>228</v>
      </c>
      <c r="S129" s="855" t="s">
        <v>228</v>
      </c>
      <c r="T129" s="849" t="s">
        <v>151</v>
      </c>
      <c r="U129" s="849" t="s">
        <v>228</v>
      </c>
      <c r="V129" s="856" t="s">
        <v>503</v>
      </c>
      <c r="W129" s="861" t="s">
        <v>228</v>
      </c>
      <c r="X129" s="849" t="s">
        <v>228</v>
      </c>
      <c r="Y129" s="849" t="s">
        <v>228</v>
      </c>
      <c r="Z129" s="869" t="s">
        <v>228</v>
      </c>
      <c r="AA129" s="869" t="s">
        <v>228</v>
      </c>
      <c r="AB129" s="870" t="s">
        <v>228</v>
      </c>
      <c r="AC129" s="865" t="s">
        <v>228</v>
      </c>
      <c r="AD129" s="869" t="s">
        <v>228</v>
      </c>
      <c r="AE129" s="849" t="s">
        <v>228</v>
      </c>
      <c r="AF129" s="858" t="s">
        <v>228</v>
      </c>
      <c r="AG129" s="858" t="s">
        <v>228</v>
      </c>
      <c r="AH129" s="858" t="s">
        <v>228</v>
      </c>
      <c r="AI129" s="858" t="s">
        <v>228</v>
      </c>
      <c r="AJ129" s="512"/>
      <c r="AK129" s="513"/>
    </row>
    <row r="130" spans="1:48" s="537" customFormat="1" ht="15" customHeight="1">
      <c r="A130" s="845">
        <v>93</v>
      </c>
      <c r="B130" s="850">
        <v>92</v>
      </c>
      <c r="C130" s="850" t="s">
        <v>288</v>
      </c>
      <c r="D130" s="862" t="s">
        <v>228</v>
      </c>
      <c r="E130" s="850" t="s">
        <v>176</v>
      </c>
      <c r="F130" s="856" t="s">
        <v>24</v>
      </c>
      <c r="G130" s="850" t="s">
        <v>546</v>
      </c>
      <c r="H130" s="856" t="s">
        <v>125</v>
      </c>
      <c r="I130" s="856" t="s">
        <v>228</v>
      </c>
      <c r="J130" s="850" t="s">
        <v>470</v>
      </c>
      <c r="K130" s="851" t="s">
        <v>228</v>
      </c>
      <c r="L130" s="852" t="s">
        <v>228</v>
      </c>
      <c r="M130" s="853" t="s">
        <v>228</v>
      </c>
      <c r="N130" s="845" t="s">
        <v>228</v>
      </c>
      <c r="O130" s="854" t="s">
        <v>228</v>
      </c>
      <c r="P130" s="854" t="s">
        <v>228</v>
      </c>
      <c r="Q130" s="854" t="s">
        <v>129</v>
      </c>
      <c r="R130" s="854" t="s">
        <v>228</v>
      </c>
      <c r="S130" s="855" t="s">
        <v>228</v>
      </c>
      <c r="T130" s="849" t="s">
        <v>151</v>
      </c>
      <c r="U130" s="856" t="s">
        <v>228</v>
      </c>
      <c r="V130" s="856" t="s">
        <v>503</v>
      </c>
      <c r="W130" s="857" t="s">
        <v>228</v>
      </c>
      <c r="X130" s="849" t="s">
        <v>228</v>
      </c>
      <c r="Y130" s="849" t="s">
        <v>228</v>
      </c>
      <c r="Z130" s="849" t="s">
        <v>228</v>
      </c>
      <c r="AA130" s="849" t="s">
        <v>228</v>
      </c>
      <c r="AB130" s="871" t="s">
        <v>228</v>
      </c>
      <c r="AC130" s="849" t="s">
        <v>228</v>
      </c>
      <c r="AD130" s="857" t="s">
        <v>228</v>
      </c>
      <c r="AE130" s="849" t="s">
        <v>228</v>
      </c>
      <c r="AF130" s="858" t="s">
        <v>228</v>
      </c>
      <c r="AG130" s="858" t="s">
        <v>228</v>
      </c>
      <c r="AH130" s="858" t="s">
        <v>228</v>
      </c>
      <c r="AI130" s="858" t="s">
        <v>228</v>
      </c>
      <c r="AJ130" s="535"/>
      <c r="AK130" s="536"/>
    </row>
    <row r="131" spans="1:48" s="537" customFormat="1">
      <c r="A131" s="845">
        <v>94</v>
      </c>
      <c r="B131" s="850">
        <v>93</v>
      </c>
      <c r="C131" s="850" t="s">
        <v>288</v>
      </c>
      <c r="D131" s="850" t="s">
        <v>228</v>
      </c>
      <c r="E131" s="850" t="s">
        <v>176</v>
      </c>
      <c r="F131" s="856" t="s">
        <v>24</v>
      </c>
      <c r="G131" s="846" t="s">
        <v>543</v>
      </c>
      <c r="H131" s="849" t="s">
        <v>125</v>
      </c>
      <c r="I131" s="849" t="s">
        <v>228</v>
      </c>
      <c r="J131" s="846" t="s">
        <v>470</v>
      </c>
      <c r="K131" s="851" t="s">
        <v>228</v>
      </c>
      <c r="L131" s="852" t="s">
        <v>228</v>
      </c>
      <c r="M131" s="853" t="s">
        <v>228</v>
      </c>
      <c r="N131" s="845" t="s">
        <v>228</v>
      </c>
      <c r="O131" s="854" t="s">
        <v>228</v>
      </c>
      <c r="P131" s="854" t="s">
        <v>228</v>
      </c>
      <c r="Q131" s="854" t="s">
        <v>129</v>
      </c>
      <c r="R131" s="854" t="s">
        <v>228</v>
      </c>
      <c r="S131" s="855" t="s">
        <v>228</v>
      </c>
      <c r="T131" s="849" t="s">
        <v>151</v>
      </c>
      <c r="U131" s="856" t="s">
        <v>228</v>
      </c>
      <c r="V131" s="856" t="s">
        <v>503</v>
      </c>
      <c r="W131" s="857" t="s">
        <v>228</v>
      </c>
      <c r="X131" s="849" t="s">
        <v>228</v>
      </c>
      <c r="Y131" s="849" t="s">
        <v>228</v>
      </c>
      <c r="Z131" s="849" t="s">
        <v>228</v>
      </c>
      <c r="AA131" s="849" t="s">
        <v>228</v>
      </c>
      <c r="AB131" s="871" t="s">
        <v>228</v>
      </c>
      <c r="AC131" s="849" t="s">
        <v>228</v>
      </c>
      <c r="AD131" s="857" t="s">
        <v>228</v>
      </c>
      <c r="AE131" s="849" t="s">
        <v>228</v>
      </c>
      <c r="AF131" s="858" t="s">
        <v>228</v>
      </c>
      <c r="AG131" s="858" t="s">
        <v>228</v>
      </c>
      <c r="AH131" s="858" t="s">
        <v>228</v>
      </c>
      <c r="AI131" s="858" t="s">
        <v>228</v>
      </c>
      <c r="AJ131" s="535"/>
      <c r="AK131" s="536"/>
    </row>
    <row r="132" spans="1:48" s="549" customFormat="1">
      <c r="A132" s="845">
        <v>93</v>
      </c>
      <c r="B132" s="850">
        <v>92</v>
      </c>
      <c r="C132" s="850" t="s">
        <v>288</v>
      </c>
      <c r="D132" s="862" t="s">
        <v>228</v>
      </c>
      <c r="E132" s="850" t="s">
        <v>176</v>
      </c>
      <c r="F132" s="856" t="s">
        <v>24</v>
      </c>
      <c r="G132" s="850" t="s">
        <v>547</v>
      </c>
      <c r="H132" s="856" t="s">
        <v>125</v>
      </c>
      <c r="I132" s="856" t="s">
        <v>228</v>
      </c>
      <c r="J132" s="850" t="s">
        <v>470</v>
      </c>
      <c r="K132" s="851" t="s">
        <v>228</v>
      </c>
      <c r="L132" s="852" t="s">
        <v>228</v>
      </c>
      <c r="M132" s="853" t="s">
        <v>228</v>
      </c>
      <c r="N132" s="845" t="s">
        <v>228</v>
      </c>
      <c r="O132" s="854" t="s">
        <v>228</v>
      </c>
      <c r="P132" s="854" t="s">
        <v>228</v>
      </c>
      <c r="Q132" s="854" t="s">
        <v>129</v>
      </c>
      <c r="R132" s="854" t="s">
        <v>228</v>
      </c>
      <c r="S132" s="855" t="s">
        <v>228</v>
      </c>
      <c r="T132" s="849" t="s">
        <v>151</v>
      </c>
      <c r="U132" s="856" t="s">
        <v>228</v>
      </c>
      <c r="V132" s="856" t="s">
        <v>503</v>
      </c>
      <c r="W132" s="857" t="s">
        <v>228</v>
      </c>
      <c r="X132" s="849" t="s">
        <v>228</v>
      </c>
      <c r="Y132" s="849" t="s">
        <v>228</v>
      </c>
      <c r="Z132" s="849" t="s">
        <v>228</v>
      </c>
      <c r="AA132" s="849" t="s">
        <v>228</v>
      </c>
      <c r="AB132" s="871" t="s">
        <v>228</v>
      </c>
      <c r="AC132" s="849" t="s">
        <v>228</v>
      </c>
      <c r="AD132" s="857" t="s">
        <v>228</v>
      </c>
      <c r="AE132" s="849" t="s">
        <v>228</v>
      </c>
      <c r="AF132" s="858" t="s">
        <v>228</v>
      </c>
      <c r="AG132" s="858" t="s">
        <v>228</v>
      </c>
      <c r="AH132" s="858" t="s">
        <v>228</v>
      </c>
      <c r="AI132" s="858" t="s">
        <v>228</v>
      </c>
      <c r="AJ132" s="535"/>
      <c r="AK132" s="536"/>
      <c r="AL132" s="537"/>
      <c r="AM132" s="537"/>
      <c r="AN132" s="537"/>
      <c r="AO132" s="537"/>
      <c r="AP132" s="537"/>
      <c r="AQ132" s="537"/>
      <c r="AR132" s="537"/>
      <c r="AS132" s="537"/>
      <c r="AT132" s="537"/>
      <c r="AU132" s="537"/>
      <c r="AV132" s="537"/>
    </row>
    <row r="133" spans="1:48" s="549" customFormat="1" ht="43.5" customHeight="1">
      <c r="A133" s="845">
        <v>93</v>
      </c>
      <c r="B133" s="850">
        <v>92</v>
      </c>
      <c r="C133" s="850" t="s">
        <v>288</v>
      </c>
      <c r="D133" s="862" t="s">
        <v>228</v>
      </c>
      <c r="E133" s="850" t="s">
        <v>176</v>
      </c>
      <c r="F133" s="856" t="s">
        <v>24</v>
      </c>
      <c r="G133" s="850" t="s">
        <v>548</v>
      </c>
      <c r="H133" s="856" t="s">
        <v>125</v>
      </c>
      <c r="I133" s="856" t="s">
        <v>228</v>
      </c>
      <c r="J133" s="850" t="s">
        <v>470</v>
      </c>
      <c r="K133" s="851" t="s">
        <v>228</v>
      </c>
      <c r="L133" s="852" t="s">
        <v>228</v>
      </c>
      <c r="M133" s="853" t="s">
        <v>228</v>
      </c>
      <c r="N133" s="845" t="s">
        <v>228</v>
      </c>
      <c r="O133" s="854" t="s">
        <v>228</v>
      </c>
      <c r="P133" s="854" t="s">
        <v>228</v>
      </c>
      <c r="Q133" s="854" t="s">
        <v>129</v>
      </c>
      <c r="R133" s="854" t="s">
        <v>228</v>
      </c>
      <c r="S133" s="855" t="s">
        <v>228</v>
      </c>
      <c r="T133" s="849" t="s">
        <v>151</v>
      </c>
      <c r="U133" s="856" t="s">
        <v>228</v>
      </c>
      <c r="V133" s="856" t="s">
        <v>503</v>
      </c>
      <c r="W133" s="857" t="s">
        <v>228</v>
      </c>
      <c r="X133" s="849" t="s">
        <v>228</v>
      </c>
      <c r="Y133" s="849" t="s">
        <v>228</v>
      </c>
      <c r="Z133" s="849" t="s">
        <v>228</v>
      </c>
      <c r="AA133" s="849" t="s">
        <v>228</v>
      </c>
      <c r="AB133" s="871" t="s">
        <v>228</v>
      </c>
      <c r="AC133" s="849" t="s">
        <v>228</v>
      </c>
      <c r="AD133" s="857" t="s">
        <v>228</v>
      </c>
      <c r="AE133" s="849" t="s">
        <v>228</v>
      </c>
      <c r="AF133" s="858" t="s">
        <v>228</v>
      </c>
      <c r="AG133" s="858" t="s">
        <v>228</v>
      </c>
      <c r="AH133" s="858" t="s">
        <v>228</v>
      </c>
      <c r="AI133" s="858" t="s">
        <v>228</v>
      </c>
      <c r="AJ133" s="535"/>
      <c r="AK133" s="536"/>
      <c r="AL133" s="537"/>
      <c r="AM133" s="537"/>
      <c r="AN133" s="537"/>
      <c r="AO133" s="537"/>
      <c r="AP133" s="537"/>
      <c r="AQ133" s="537"/>
      <c r="AR133" s="537"/>
      <c r="AS133" s="537"/>
      <c r="AT133" s="537"/>
      <c r="AU133" s="537"/>
      <c r="AV133" s="537"/>
    </row>
    <row r="134" spans="1:48" s="549" customFormat="1">
      <c r="A134" s="872">
        <v>99</v>
      </c>
      <c r="B134" s="873" t="s">
        <v>228</v>
      </c>
      <c r="C134" s="873" t="s">
        <v>288</v>
      </c>
      <c r="D134" s="873" t="s">
        <v>228</v>
      </c>
      <c r="E134" s="873" t="s">
        <v>270</v>
      </c>
      <c r="F134" s="874" t="s">
        <v>24</v>
      </c>
      <c r="G134" s="873" t="s">
        <v>549</v>
      </c>
      <c r="H134" s="875" t="s">
        <v>125</v>
      </c>
      <c r="I134" s="876" t="s">
        <v>228</v>
      </c>
      <c r="J134" s="877" t="s">
        <v>463</v>
      </c>
      <c r="K134" s="878" t="s">
        <v>228</v>
      </c>
      <c r="L134" s="879" t="s">
        <v>228</v>
      </c>
      <c r="M134" s="880" t="s">
        <v>228</v>
      </c>
      <c r="N134" s="872" t="s">
        <v>228</v>
      </c>
      <c r="O134" s="881" t="s">
        <v>228</v>
      </c>
      <c r="P134" s="881" t="s">
        <v>228</v>
      </c>
      <c r="Q134" s="881" t="s">
        <v>178</v>
      </c>
      <c r="R134" s="881" t="s">
        <v>228</v>
      </c>
      <c r="S134" s="882" t="s">
        <v>228</v>
      </c>
      <c r="T134" s="874" t="s">
        <v>130</v>
      </c>
      <c r="U134" s="875" t="s">
        <v>228</v>
      </c>
      <c r="V134" s="875" t="s">
        <v>550</v>
      </c>
      <c r="W134" s="883" t="s">
        <v>228</v>
      </c>
      <c r="X134" s="874" t="s">
        <v>228</v>
      </c>
      <c r="Y134" s="874" t="s">
        <v>228</v>
      </c>
      <c r="Z134" s="884" t="s">
        <v>228</v>
      </c>
      <c r="AA134" s="884" t="s">
        <v>228</v>
      </c>
      <c r="AB134" s="885" t="s">
        <v>228</v>
      </c>
      <c r="AC134" s="874" t="s">
        <v>228</v>
      </c>
      <c r="AD134" s="884" t="s">
        <v>228</v>
      </c>
      <c r="AE134" s="874" t="s">
        <v>228</v>
      </c>
      <c r="AF134" s="886" t="s">
        <v>228</v>
      </c>
      <c r="AG134" s="886" t="s">
        <v>228</v>
      </c>
      <c r="AH134" s="886" t="s">
        <v>228</v>
      </c>
      <c r="AI134" s="886" t="s">
        <v>228</v>
      </c>
      <c r="AJ134" s="535"/>
      <c r="AK134" s="536"/>
      <c r="AL134" s="537"/>
      <c r="AM134" s="537"/>
      <c r="AN134" s="537"/>
      <c r="AO134" s="537"/>
      <c r="AP134" s="537"/>
      <c r="AQ134" s="537"/>
      <c r="AR134" s="537"/>
      <c r="AS134" s="537"/>
      <c r="AT134" s="537"/>
      <c r="AU134" s="537"/>
      <c r="AV134" s="537"/>
    </row>
    <row r="135" spans="1:48" s="549" customFormat="1" ht="26.25">
      <c r="A135" s="872">
        <v>100</v>
      </c>
      <c r="B135" s="873">
        <v>99</v>
      </c>
      <c r="C135" s="873" t="s">
        <v>288</v>
      </c>
      <c r="D135" s="873" t="s">
        <v>228</v>
      </c>
      <c r="E135" s="873" t="s">
        <v>270</v>
      </c>
      <c r="F135" s="874" t="s">
        <v>24</v>
      </c>
      <c r="G135" s="1005" t="s">
        <v>551</v>
      </c>
      <c r="H135" s="875" t="s">
        <v>125</v>
      </c>
      <c r="I135" s="887" t="s">
        <v>228</v>
      </c>
      <c r="J135" s="888" t="s">
        <v>470</v>
      </c>
      <c r="K135" s="878" t="s">
        <v>228</v>
      </c>
      <c r="L135" s="879" t="s">
        <v>228</v>
      </c>
      <c r="M135" s="880" t="s">
        <v>228</v>
      </c>
      <c r="N135" s="872" t="s">
        <v>228</v>
      </c>
      <c r="O135" s="881" t="s">
        <v>228</v>
      </c>
      <c r="P135" s="881" t="s">
        <v>228</v>
      </c>
      <c r="Q135" s="881" t="s">
        <v>178</v>
      </c>
      <c r="R135" s="881" t="s">
        <v>228</v>
      </c>
      <c r="S135" s="882" t="s">
        <v>228</v>
      </c>
      <c r="T135" s="874" t="s">
        <v>130</v>
      </c>
      <c r="U135" s="875" t="s">
        <v>228</v>
      </c>
      <c r="V135" s="875" t="s">
        <v>471</v>
      </c>
      <c r="W135" s="883" t="s">
        <v>228</v>
      </c>
      <c r="X135" s="874" t="s">
        <v>228</v>
      </c>
      <c r="Y135" s="874" t="s">
        <v>228</v>
      </c>
      <c r="Z135" s="884" t="s">
        <v>228</v>
      </c>
      <c r="AA135" s="884" t="s">
        <v>228</v>
      </c>
      <c r="AB135" s="885" t="s">
        <v>228</v>
      </c>
      <c r="AC135" s="874" t="s">
        <v>228</v>
      </c>
      <c r="AD135" s="884" t="s">
        <v>228</v>
      </c>
      <c r="AE135" s="874" t="s">
        <v>228</v>
      </c>
      <c r="AF135" s="886" t="s">
        <v>228</v>
      </c>
      <c r="AG135" s="886" t="s">
        <v>228</v>
      </c>
      <c r="AH135" s="886" t="s">
        <v>228</v>
      </c>
      <c r="AI135" s="886" t="s">
        <v>228</v>
      </c>
      <c r="AJ135" s="535"/>
      <c r="AK135" s="536"/>
      <c r="AL135" s="537"/>
      <c r="AM135" s="537"/>
      <c r="AN135" s="537"/>
      <c r="AO135" s="537"/>
      <c r="AP135" s="537"/>
      <c r="AQ135" s="537"/>
      <c r="AR135" s="537"/>
      <c r="AS135" s="537"/>
      <c r="AT135" s="537"/>
      <c r="AU135" s="537"/>
      <c r="AV135" s="537"/>
    </row>
    <row r="136" spans="1:48" s="577" customFormat="1" ht="25.5" customHeight="1">
      <c r="A136" s="889">
        <v>101</v>
      </c>
      <c r="B136" s="890" t="s">
        <v>228</v>
      </c>
      <c r="C136" s="890" t="s">
        <v>288</v>
      </c>
      <c r="D136" s="891" t="s">
        <v>228</v>
      </c>
      <c r="E136" s="892" t="s">
        <v>349</v>
      </c>
      <c r="F136" s="893" t="s">
        <v>24</v>
      </c>
      <c r="G136" s="890" t="s">
        <v>490</v>
      </c>
      <c r="H136" s="893" t="s">
        <v>125</v>
      </c>
      <c r="I136" s="893" t="s">
        <v>228</v>
      </c>
      <c r="J136" s="894" t="s">
        <v>491</v>
      </c>
      <c r="K136" s="895" t="s">
        <v>228</v>
      </c>
      <c r="L136" s="896" t="s">
        <v>228</v>
      </c>
      <c r="M136" s="897" t="s">
        <v>228</v>
      </c>
      <c r="N136" s="889" t="s">
        <v>228</v>
      </c>
      <c r="O136" s="898" t="s">
        <v>228</v>
      </c>
      <c r="P136" s="898" t="s">
        <v>228</v>
      </c>
      <c r="Q136" s="898" t="s">
        <v>129</v>
      </c>
      <c r="R136" s="898" t="s">
        <v>228</v>
      </c>
      <c r="S136" s="899" t="s">
        <v>228</v>
      </c>
      <c r="T136" s="893" t="s">
        <v>151</v>
      </c>
      <c r="U136" s="893" t="s">
        <v>228</v>
      </c>
      <c r="V136" s="900" t="s">
        <v>492</v>
      </c>
      <c r="W136" s="901" t="s">
        <v>228</v>
      </c>
      <c r="X136" s="902" t="s">
        <v>228</v>
      </c>
      <c r="Y136" s="893" t="s">
        <v>228</v>
      </c>
      <c r="Z136" s="903" t="s">
        <v>228</v>
      </c>
      <c r="AA136" s="903" t="s">
        <v>228</v>
      </c>
      <c r="AB136" s="904" t="s">
        <v>228</v>
      </c>
      <c r="AC136" s="893" t="s">
        <v>228</v>
      </c>
      <c r="AD136" s="903" t="s">
        <v>228</v>
      </c>
      <c r="AE136" s="893" t="s">
        <v>228</v>
      </c>
      <c r="AF136" s="886" t="s">
        <v>228</v>
      </c>
      <c r="AG136" s="886" t="s">
        <v>228</v>
      </c>
      <c r="AH136" s="886" t="s">
        <v>228</v>
      </c>
      <c r="AI136" s="886" t="s">
        <v>228</v>
      </c>
      <c r="AJ136" s="535"/>
      <c r="AK136" s="536"/>
      <c r="AL136" s="549"/>
      <c r="AM136" s="549"/>
      <c r="AN136" s="549"/>
      <c r="AO136" s="549"/>
      <c r="AP136" s="549"/>
      <c r="AQ136" s="549"/>
      <c r="AR136" s="549"/>
      <c r="AS136" s="549"/>
      <c r="AT136" s="549"/>
      <c r="AU136" s="549"/>
      <c r="AV136" s="549"/>
    </row>
    <row r="137" spans="1:48" s="577" customFormat="1" ht="15" customHeight="1">
      <c r="A137" s="889">
        <v>102</v>
      </c>
      <c r="B137" s="894">
        <v>101</v>
      </c>
      <c r="C137" s="894" t="s">
        <v>288</v>
      </c>
      <c r="D137" s="905" t="s">
        <v>228</v>
      </c>
      <c r="E137" s="894" t="s">
        <v>349</v>
      </c>
      <c r="F137" s="900" t="s">
        <v>24</v>
      </c>
      <c r="G137" s="894" t="s">
        <v>537</v>
      </c>
      <c r="H137" s="900" t="s">
        <v>125</v>
      </c>
      <c r="I137" s="900" t="s">
        <v>228</v>
      </c>
      <c r="J137" s="894" t="s">
        <v>296</v>
      </c>
      <c r="K137" s="895" t="s">
        <v>228</v>
      </c>
      <c r="L137" s="896" t="s">
        <v>228</v>
      </c>
      <c r="M137" s="897" t="s">
        <v>228</v>
      </c>
      <c r="N137" s="889" t="s">
        <v>228</v>
      </c>
      <c r="O137" s="898" t="s">
        <v>228</v>
      </c>
      <c r="P137" s="898" t="s">
        <v>228</v>
      </c>
      <c r="Q137" s="898" t="s">
        <v>178</v>
      </c>
      <c r="R137" s="898" t="s">
        <v>228</v>
      </c>
      <c r="S137" s="899" t="s">
        <v>228</v>
      </c>
      <c r="T137" s="893" t="s">
        <v>130</v>
      </c>
      <c r="U137" s="906" t="s">
        <v>228</v>
      </c>
      <c r="V137" s="896" t="s">
        <v>460</v>
      </c>
      <c r="W137" s="897" t="s">
        <v>228</v>
      </c>
      <c r="X137" s="907" t="s">
        <v>228</v>
      </c>
      <c r="Y137" s="890" t="s">
        <v>228</v>
      </c>
      <c r="Z137" s="890" t="s">
        <v>228</v>
      </c>
      <c r="AA137" s="890" t="s">
        <v>228</v>
      </c>
      <c r="AB137" s="893" t="s">
        <v>228</v>
      </c>
      <c r="AC137" s="893" t="s">
        <v>228</v>
      </c>
      <c r="AD137" s="903" t="s">
        <v>228</v>
      </c>
      <c r="AE137" s="893" t="s">
        <v>228</v>
      </c>
      <c r="AF137" s="886" t="s">
        <v>228</v>
      </c>
      <c r="AG137" s="886" t="s">
        <v>228</v>
      </c>
      <c r="AH137" s="886" t="s">
        <v>228</v>
      </c>
      <c r="AI137" s="886" t="s">
        <v>228</v>
      </c>
      <c r="AJ137" s="535"/>
      <c r="AK137" s="536"/>
      <c r="AL137" s="549"/>
      <c r="AM137" s="549"/>
      <c r="AN137" s="549"/>
      <c r="AO137" s="549"/>
      <c r="AP137" s="549"/>
      <c r="AQ137" s="549"/>
      <c r="AR137" s="549"/>
      <c r="AS137" s="549"/>
      <c r="AT137" s="549"/>
      <c r="AU137" s="549"/>
      <c r="AV137" s="549"/>
    </row>
    <row r="138" spans="1:48" s="577" customFormat="1" ht="15" customHeight="1">
      <c r="A138" s="889">
        <v>103</v>
      </c>
      <c r="B138" s="894">
        <v>102</v>
      </c>
      <c r="C138" s="894" t="s">
        <v>288</v>
      </c>
      <c r="D138" s="894" t="s">
        <v>228</v>
      </c>
      <c r="E138" s="894" t="s">
        <v>349</v>
      </c>
      <c r="F138" s="900" t="s">
        <v>24</v>
      </c>
      <c r="G138" s="894" t="s">
        <v>538</v>
      </c>
      <c r="H138" s="900" t="s">
        <v>125</v>
      </c>
      <c r="I138" s="900" t="s">
        <v>228</v>
      </c>
      <c r="J138" s="894" t="s">
        <v>463</v>
      </c>
      <c r="K138" s="895" t="s">
        <v>228</v>
      </c>
      <c r="L138" s="896" t="s">
        <v>228</v>
      </c>
      <c r="M138" s="897" t="s">
        <v>228</v>
      </c>
      <c r="N138" s="889" t="s">
        <v>228</v>
      </c>
      <c r="O138" s="898" t="s">
        <v>228</v>
      </c>
      <c r="P138" s="898" t="s">
        <v>228</v>
      </c>
      <c r="Q138" s="898" t="s">
        <v>178</v>
      </c>
      <c r="R138" s="898" t="s">
        <v>228</v>
      </c>
      <c r="S138" s="899" t="s">
        <v>228</v>
      </c>
      <c r="T138" s="893" t="s">
        <v>130</v>
      </c>
      <c r="U138" s="908" t="s">
        <v>228</v>
      </c>
      <c r="V138" s="900" t="s">
        <v>464</v>
      </c>
      <c r="W138" s="897" t="s">
        <v>228</v>
      </c>
      <c r="X138" s="907" t="s">
        <v>228</v>
      </c>
      <c r="Y138" s="890" t="s">
        <v>228</v>
      </c>
      <c r="Z138" s="890" t="s">
        <v>228</v>
      </c>
      <c r="AA138" s="890" t="s">
        <v>228</v>
      </c>
      <c r="AB138" s="893" t="s">
        <v>228</v>
      </c>
      <c r="AC138" s="893" t="s">
        <v>228</v>
      </c>
      <c r="AD138" s="903" t="s">
        <v>228</v>
      </c>
      <c r="AE138" s="893" t="s">
        <v>228</v>
      </c>
      <c r="AF138" s="886" t="s">
        <v>228</v>
      </c>
      <c r="AG138" s="886" t="s">
        <v>228</v>
      </c>
      <c r="AH138" s="886" t="s">
        <v>228</v>
      </c>
      <c r="AI138" s="886" t="s">
        <v>228</v>
      </c>
      <c r="AJ138" s="535"/>
      <c r="AK138" s="536"/>
      <c r="AL138" s="549"/>
      <c r="AM138" s="549"/>
      <c r="AN138" s="549"/>
      <c r="AO138" s="549"/>
      <c r="AP138" s="549"/>
      <c r="AQ138" s="549"/>
      <c r="AR138" s="549"/>
      <c r="AS138" s="549"/>
      <c r="AT138" s="549"/>
      <c r="AU138" s="549"/>
      <c r="AV138" s="549"/>
    </row>
    <row r="139" spans="1:48" s="577" customFormat="1">
      <c r="A139" s="889">
        <v>104</v>
      </c>
      <c r="B139" s="894">
        <v>103</v>
      </c>
      <c r="C139" s="894" t="s">
        <v>288</v>
      </c>
      <c r="D139" s="894" t="s">
        <v>228</v>
      </c>
      <c r="E139" s="894" t="s">
        <v>349</v>
      </c>
      <c r="F139" s="893" t="s">
        <v>24</v>
      </c>
      <c r="G139" s="894" t="s">
        <v>539</v>
      </c>
      <c r="H139" s="900" t="s">
        <v>125</v>
      </c>
      <c r="I139" s="906" t="s">
        <v>228</v>
      </c>
      <c r="J139" s="909" t="s">
        <v>467</v>
      </c>
      <c r="K139" s="895" t="s">
        <v>228</v>
      </c>
      <c r="L139" s="896" t="s">
        <v>228</v>
      </c>
      <c r="M139" s="897" t="s">
        <v>228</v>
      </c>
      <c r="N139" s="889" t="s">
        <v>228</v>
      </c>
      <c r="O139" s="898" t="s">
        <v>228</v>
      </c>
      <c r="P139" s="898" t="s">
        <v>228</v>
      </c>
      <c r="Q139" s="898" t="s">
        <v>178</v>
      </c>
      <c r="R139" s="898" t="s">
        <v>228</v>
      </c>
      <c r="S139" s="899" t="s">
        <v>228</v>
      </c>
      <c r="T139" s="893" t="s">
        <v>130</v>
      </c>
      <c r="U139" s="900" t="s">
        <v>228</v>
      </c>
      <c r="V139" s="900" t="s">
        <v>464</v>
      </c>
      <c r="W139" s="897" t="s">
        <v>228</v>
      </c>
      <c r="X139" s="907" t="s">
        <v>228</v>
      </c>
      <c r="Y139" s="890" t="s">
        <v>228</v>
      </c>
      <c r="Z139" s="890" t="s">
        <v>228</v>
      </c>
      <c r="AA139" s="890" t="s">
        <v>228</v>
      </c>
      <c r="AB139" s="893" t="s">
        <v>228</v>
      </c>
      <c r="AC139" s="893" t="s">
        <v>228</v>
      </c>
      <c r="AD139" s="903" t="s">
        <v>228</v>
      </c>
      <c r="AE139" s="893" t="s">
        <v>228</v>
      </c>
      <c r="AF139" s="886" t="s">
        <v>228</v>
      </c>
      <c r="AG139" s="886" t="s">
        <v>228</v>
      </c>
      <c r="AH139" s="886" t="s">
        <v>228</v>
      </c>
      <c r="AI139" s="886" t="s">
        <v>228</v>
      </c>
      <c r="AJ139" s="547"/>
      <c r="AK139" s="548"/>
      <c r="AL139" s="549"/>
      <c r="AM139" s="549"/>
      <c r="AN139" s="549"/>
      <c r="AO139" s="549"/>
      <c r="AP139" s="549"/>
      <c r="AQ139" s="549"/>
      <c r="AR139" s="549"/>
      <c r="AS139" s="549"/>
      <c r="AT139" s="549"/>
      <c r="AU139" s="549"/>
      <c r="AV139" s="549"/>
    </row>
    <row r="140" spans="1:48" s="577" customFormat="1" ht="15" customHeight="1">
      <c r="A140" s="889">
        <v>105</v>
      </c>
      <c r="B140" s="894">
        <v>104</v>
      </c>
      <c r="C140" s="894" t="s">
        <v>288</v>
      </c>
      <c r="D140" s="894" t="s">
        <v>228</v>
      </c>
      <c r="E140" s="894" t="s">
        <v>552</v>
      </c>
      <c r="F140" s="893" t="s">
        <v>24</v>
      </c>
      <c r="G140" s="1050" t="s">
        <v>553</v>
      </c>
      <c r="H140" s="900" t="s">
        <v>125</v>
      </c>
      <c r="I140" s="908" t="s">
        <v>228</v>
      </c>
      <c r="J140" s="905" t="s">
        <v>470</v>
      </c>
      <c r="K140" s="895" t="s">
        <v>228</v>
      </c>
      <c r="L140" s="896" t="s">
        <v>228</v>
      </c>
      <c r="M140" s="897" t="s">
        <v>228</v>
      </c>
      <c r="N140" s="889" t="s">
        <v>228</v>
      </c>
      <c r="O140" s="898" t="s">
        <v>228</v>
      </c>
      <c r="P140" s="898" t="s">
        <v>228</v>
      </c>
      <c r="Q140" s="898" t="s">
        <v>178</v>
      </c>
      <c r="R140" s="898" t="s">
        <v>228</v>
      </c>
      <c r="S140" s="899" t="s">
        <v>228</v>
      </c>
      <c r="T140" s="893" t="s">
        <v>130</v>
      </c>
      <c r="U140" s="900" t="s">
        <v>228</v>
      </c>
      <c r="V140" s="900" t="s">
        <v>471</v>
      </c>
      <c r="W140" s="897" t="s">
        <v>228</v>
      </c>
      <c r="X140" s="907" t="s">
        <v>228</v>
      </c>
      <c r="Y140" s="890" t="s">
        <v>228</v>
      </c>
      <c r="Z140" s="890" t="s">
        <v>228</v>
      </c>
      <c r="AA140" s="890" t="s">
        <v>228</v>
      </c>
      <c r="AB140" s="893" t="s">
        <v>228</v>
      </c>
      <c r="AC140" s="893" t="s">
        <v>228</v>
      </c>
      <c r="AD140" s="903" t="s">
        <v>228</v>
      </c>
      <c r="AE140" s="893" t="s">
        <v>228</v>
      </c>
      <c r="AF140" s="910" t="s">
        <v>228</v>
      </c>
      <c r="AG140" s="910" t="s">
        <v>228</v>
      </c>
      <c r="AH140" s="910" t="s">
        <v>228</v>
      </c>
      <c r="AI140" s="910" t="s">
        <v>228</v>
      </c>
      <c r="AJ140" s="547"/>
      <c r="AK140" s="548"/>
    </row>
    <row r="141" spans="1:48" s="586" customFormat="1" ht="26.25">
      <c r="A141" s="889">
        <v>106</v>
      </c>
      <c r="B141" s="894">
        <v>105</v>
      </c>
      <c r="C141" s="894" t="s">
        <v>288</v>
      </c>
      <c r="D141" s="894" t="s">
        <v>228</v>
      </c>
      <c r="E141" s="894" t="s">
        <v>349</v>
      </c>
      <c r="F141" s="900" t="s">
        <v>24</v>
      </c>
      <c r="G141" s="1050" t="s">
        <v>554</v>
      </c>
      <c r="H141" s="900" t="s">
        <v>125</v>
      </c>
      <c r="I141" s="900" t="s">
        <v>228</v>
      </c>
      <c r="J141" s="894" t="s">
        <v>470</v>
      </c>
      <c r="K141" s="895" t="s">
        <v>228</v>
      </c>
      <c r="L141" s="896" t="s">
        <v>228</v>
      </c>
      <c r="M141" s="897" t="s">
        <v>228</v>
      </c>
      <c r="N141" s="889" t="s">
        <v>228</v>
      </c>
      <c r="O141" s="898" t="s">
        <v>228</v>
      </c>
      <c r="P141" s="898" t="s">
        <v>228</v>
      </c>
      <c r="Q141" s="898" t="s">
        <v>178</v>
      </c>
      <c r="R141" s="898" t="s">
        <v>228</v>
      </c>
      <c r="S141" s="899" t="s">
        <v>228</v>
      </c>
      <c r="T141" s="893" t="s">
        <v>130</v>
      </c>
      <c r="U141" s="900" t="s">
        <v>228</v>
      </c>
      <c r="V141" s="900" t="s">
        <v>471</v>
      </c>
      <c r="W141" s="897" t="s">
        <v>228</v>
      </c>
      <c r="X141" s="907" t="s">
        <v>228</v>
      </c>
      <c r="Y141" s="890" t="s">
        <v>228</v>
      </c>
      <c r="Z141" s="890" t="s">
        <v>228</v>
      </c>
      <c r="AA141" s="890" t="s">
        <v>228</v>
      </c>
      <c r="AB141" s="893" t="s">
        <v>228</v>
      </c>
      <c r="AC141" s="893" t="s">
        <v>228</v>
      </c>
      <c r="AD141" s="903" t="s">
        <v>228</v>
      </c>
      <c r="AE141" s="893" t="s">
        <v>228</v>
      </c>
      <c r="AF141" s="910" t="s">
        <v>228</v>
      </c>
      <c r="AG141" s="910" t="s">
        <v>228</v>
      </c>
      <c r="AH141" s="910" t="s">
        <v>228</v>
      </c>
      <c r="AI141" s="910" t="s">
        <v>228</v>
      </c>
      <c r="AJ141" s="547"/>
      <c r="AK141" s="548"/>
      <c r="AL141" s="577"/>
      <c r="AM141" s="577"/>
      <c r="AN141" s="577"/>
      <c r="AO141" s="577"/>
      <c r="AP141" s="577"/>
      <c r="AQ141" s="577"/>
      <c r="AR141" s="577"/>
      <c r="AS141" s="577"/>
      <c r="AT141" s="577"/>
      <c r="AU141" s="577"/>
      <c r="AV141" s="577"/>
    </row>
    <row r="142" spans="1:48" ht="26.25">
      <c r="A142" s="889">
        <v>107</v>
      </c>
      <c r="B142" s="894">
        <v>106</v>
      </c>
      <c r="C142" s="894" t="s">
        <v>288</v>
      </c>
      <c r="D142" s="894" t="s">
        <v>228</v>
      </c>
      <c r="E142" s="894" t="s">
        <v>552</v>
      </c>
      <c r="F142" s="900" t="s">
        <v>24</v>
      </c>
      <c r="G142" s="1051" t="s">
        <v>555</v>
      </c>
      <c r="H142" s="893" t="s">
        <v>125</v>
      </c>
      <c r="I142" s="893" t="s">
        <v>228</v>
      </c>
      <c r="J142" s="890" t="s">
        <v>470</v>
      </c>
      <c r="K142" s="895" t="s">
        <v>228</v>
      </c>
      <c r="L142" s="896" t="s">
        <v>228</v>
      </c>
      <c r="M142" s="897" t="s">
        <v>228</v>
      </c>
      <c r="N142" s="889" t="s">
        <v>228</v>
      </c>
      <c r="O142" s="898" t="s">
        <v>228</v>
      </c>
      <c r="P142" s="898" t="s">
        <v>228</v>
      </c>
      <c r="Q142" s="898" t="s">
        <v>178</v>
      </c>
      <c r="R142" s="898" t="s">
        <v>228</v>
      </c>
      <c r="S142" s="899" t="s">
        <v>228</v>
      </c>
      <c r="T142" s="893" t="s">
        <v>130</v>
      </c>
      <c r="U142" s="900" t="s">
        <v>228</v>
      </c>
      <c r="V142" s="893" t="s">
        <v>471</v>
      </c>
      <c r="W142" s="897" t="s">
        <v>228</v>
      </c>
      <c r="X142" s="907" t="s">
        <v>228</v>
      </c>
      <c r="Y142" s="890" t="s">
        <v>228</v>
      </c>
      <c r="Z142" s="890" t="s">
        <v>228</v>
      </c>
      <c r="AA142" s="890" t="s">
        <v>228</v>
      </c>
      <c r="AB142" s="893" t="s">
        <v>228</v>
      </c>
      <c r="AC142" s="893" t="s">
        <v>228</v>
      </c>
      <c r="AD142" s="903" t="s">
        <v>228</v>
      </c>
      <c r="AE142" s="893" t="s">
        <v>228</v>
      </c>
      <c r="AF142" s="910" t="s">
        <v>228</v>
      </c>
      <c r="AG142" s="910" t="s">
        <v>228</v>
      </c>
      <c r="AH142" s="910" t="s">
        <v>228</v>
      </c>
      <c r="AI142" s="910" t="s">
        <v>228</v>
      </c>
      <c r="AJ142" s="547"/>
      <c r="AK142" s="548"/>
      <c r="AL142" s="577"/>
      <c r="AM142" s="577"/>
      <c r="AN142" s="577"/>
      <c r="AO142" s="577"/>
      <c r="AP142" s="577"/>
      <c r="AQ142" s="577"/>
      <c r="AR142" s="577"/>
      <c r="AS142" s="577"/>
      <c r="AT142" s="577"/>
      <c r="AU142" s="577"/>
      <c r="AV142" s="577"/>
    </row>
    <row r="143" spans="1:48">
      <c r="A143" s="911">
        <v>108</v>
      </c>
      <c r="B143" s="912" t="s">
        <v>228</v>
      </c>
      <c r="C143" s="912" t="s">
        <v>288</v>
      </c>
      <c r="D143" s="913" t="s">
        <v>228</v>
      </c>
      <c r="E143" s="914" t="s">
        <v>391</v>
      </c>
      <c r="F143" s="915" t="s">
        <v>24</v>
      </c>
      <c r="G143" s="912" t="s">
        <v>490</v>
      </c>
      <c r="H143" s="915" t="s">
        <v>125</v>
      </c>
      <c r="I143" s="915" t="s">
        <v>228</v>
      </c>
      <c r="J143" s="916" t="s">
        <v>491</v>
      </c>
      <c r="K143" s="917" t="s">
        <v>228</v>
      </c>
      <c r="L143" s="918" t="s">
        <v>228</v>
      </c>
      <c r="M143" s="919" t="s">
        <v>228</v>
      </c>
      <c r="N143" s="911" t="s">
        <v>228</v>
      </c>
      <c r="O143" s="920" t="s">
        <v>228</v>
      </c>
      <c r="P143" s="920" t="s">
        <v>228</v>
      </c>
      <c r="Q143" s="920" t="s">
        <v>129</v>
      </c>
      <c r="R143" s="920" t="s">
        <v>228</v>
      </c>
      <c r="S143" s="921" t="s">
        <v>228</v>
      </c>
      <c r="T143" s="915" t="s">
        <v>556</v>
      </c>
      <c r="U143" s="915" t="s">
        <v>228</v>
      </c>
      <c r="V143" s="922" t="s">
        <v>492</v>
      </c>
      <c r="W143" s="923" t="s">
        <v>228</v>
      </c>
      <c r="X143" s="924" t="s">
        <v>228</v>
      </c>
      <c r="Y143" s="915" t="s">
        <v>228</v>
      </c>
      <c r="Z143" s="925" t="s">
        <v>228</v>
      </c>
      <c r="AA143" s="925" t="s">
        <v>228</v>
      </c>
      <c r="AB143" s="926" t="s">
        <v>228</v>
      </c>
      <c r="AC143" s="915" t="s">
        <v>228</v>
      </c>
      <c r="AD143" s="925" t="s">
        <v>228</v>
      </c>
      <c r="AE143" s="915" t="s">
        <v>228</v>
      </c>
      <c r="AF143" s="910" t="s">
        <v>228</v>
      </c>
      <c r="AG143" s="910" t="s">
        <v>228</v>
      </c>
      <c r="AH143" s="910" t="s">
        <v>228</v>
      </c>
      <c r="AI143" s="910" t="s">
        <v>228</v>
      </c>
      <c r="AJ143" s="575"/>
      <c r="AK143" s="576"/>
      <c r="AL143" s="577"/>
      <c r="AM143" s="577"/>
      <c r="AN143" s="577"/>
      <c r="AO143" s="577"/>
      <c r="AP143" s="577"/>
      <c r="AQ143" s="577"/>
      <c r="AR143" s="577"/>
      <c r="AS143" s="577"/>
      <c r="AT143" s="577"/>
      <c r="AU143" s="577"/>
      <c r="AV143" s="577"/>
    </row>
    <row r="144" spans="1:48" ht="52.5" customHeight="1">
      <c r="A144" s="911">
        <v>109</v>
      </c>
      <c r="B144" s="916">
        <v>108</v>
      </c>
      <c r="C144" s="916" t="s">
        <v>288</v>
      </c>
      <c r="D144" s="927" t="s">
        <v>228</v>
      </c>
      <c r="E144" s="916" t="s">
        <v>391</v>
      </c>
      <c r="F144" s="915" t="s">
        <v>24</v>
      </c>
      <c r="G144" s="916" t="s">
        <v>538</v>
      </c>
      <c r="H144" s="922" t="s">
        <v>125</v>
      </c>
      <c r="I144" s="928" t="s">
        <v>228</v>
      </c>
      <c r="J144" s="929" t="s">
        <v>463</v>
      </c>
      <c r="K144" s="917" t="s">
        <v>228</v>
      </c>
      <c r="L144" s="918" t="s">
        <v>228</v>
      </c>
      <c r="M144" s="919" t="s">
        <v>228</v>
      </c>
      <c r="N144" s="911" t="s">
        <v>228</v>
      </c>
      <c r="O144" s="920" t="s">
        <v>228</v>
      </c>
      <c r="P144" s="920" t="s">
        <v>228</v>
      </c>
      <c r="Q144" s="920" t="s">
        <v>178</v>
      </c>
      <c r="R144" s="920" t="s">
        <v>228</v>
      </c>
      <c r="S144" s="921" t="s">
        <v>228</v>
      </c>
      <c r="T144" s="915" t="s">
        <v>556</v>
      </c>
      <c r="U144" s="922" t="s">
        <v>228</v>
      </c>
      <c r="V144" s="922" t="s">
        <v>550</v>
      </c>
      <c r="W144" s="924" t="s">
        <v>228</v>
      </c>
      <c r="X144" s="915" t="s">
        <v>228</v>
      </c>
      <c r="Y144" s="915" t="s">
        <v>228</v>
      </c>
      <c r="Z144" s="925" t="s">
        <v>228</v>
      </c>
      <c r="AA144" s="925" t="s">
        <v>228</v>
      </c>
      <c r="AB144" s="926" t="s">
        <v>228</v>
      </c>
      <c r="AC144" s="915" t="s">
        <v>228</v>
      </c>
      <c r="AD144" s="925" t="s">
        <v>228</v>
      </c>
      <c r="AE144" s="915" t="s">
        <v>228</v>
      </c>
      <c r="AF144" s="930" t="s">
        <v>228</v>
      </c>
      <c r="AG144" s="930" t="s">
        <v>228</v>
      </c>
      <c r="AH144" s="930" t="s">
        <v>228</v>
      </c>
      <c r="AI144" s="930" t="s">
        <v>228</v>
      </c>
      <c r="AJ144" s="575"/>
      <c r="AK144" s="576"/>
      <c r="AL144" s="577"/>
      <c r="AM144" s="577"/>
      <c r="AN144" s="577"/>
      <c r="AO144" s="577"/>
      <c r="AP144" s="577"/>
      <c r="AQ144" s="577"/>
      <c r="AR144" s="577"/>
      <c r="AS144" s="577"/>
      <c r="AT144" s="577"/>
      <c r="AU144" s="577"/>
      <c r="AV144" s="577"/>
    </row>
    <row r="145" spans="1:49" ht="26.25">
      <c r="A145" s="911">
        <v>110</v>
      </c>
      <c r="B145" s="916">
        <v>109</v>
      </c>
      <c r="C145" s="916" t="s">
        <v>288</v>
      </c>
      <c r="D145" s="916" t="s">
        <v>228</v>
      </c>
      <c r="E145" s="916" t="s">
        <v>391</v>
      </c>
      <c r="F145" s="915" t="s">
        <v>24</v>
      </c>
      <c r="G145" s="916" t="s">
        <v>557</v>
      </c>
      <c r="H145" s="922" t="s">
        <v>125</v>
      </c>
      <c r="I145" s="931" t="s">
        <v>228</v>
      </c>
      <c r="J145" s="927" t="s">
        <v>470</v>
      </c>
      <c r="K145" s="917" t="s">
        <v>228</v>
      </c>
      <c r="L145" s="918" t="s">
        <v>228</v>
      </c>
      <c r="M145" s="919" t="s">
        <v>228</v>
      </c>
      <c r="N145" s="911" t="s">
        <v>228</v>
      </c>
      <c r="O145" s="920" t="s">
        <v>228</v>
      </c>
      <c r="P145" s="920" t="s">
        <v>228</v>
      </c>
      <c r="Q145" s="920" t="s">
        <v>178</v>
      </c>
      <c r="R145" s="920" t="s">
        <v>228</v>
      </c>
      <c r="S145" s="921" t="s">
        <v>228</v>
      </c>
      <c r="T145" s="915" t="s">
        <v>556</v>
      </c>
      <c r="U145" s="922" t="s">
        <v>228</v>
      </c>
      <c r="V145" s="922" t="s">
        <v>471</v>
      </c>
      <c r="W145" s="924" t="s">
        <v>228</v>
      </c>
      <c r="X145" s="915" t="s">
        <v>228</v>
      </c>
      <c r="Y145" s="915" t="s">
        <v>228</v>
      </c>
      <c r="Z145" s="925" t="s">
        <v>228</v>
      </c>
      <c r="AA145" s="925" t="s">
        <v>228</v>
      </c>
      <c r="AB145" s="926" t="s">
        <v>228</v>
      </c>
      <c r="AC145" s="915" t="s">
        <v>228</v>
      </c>
      <c r="AD145" s="925" t="s">
        <v>228</v>
      </c>
      <c r="AE145" s="915" t="s">
        <v>228</v>
      </c>
      <c r="AF145" s="930" t="s">
        <v>228</v>
      </c>
      <c r="AG145" s="930" t="s">
        <v>228</v>
      </c>
      <c r="AH145" s="930" t="s">
        <v>228</v>
      </c>
      <c r="AI145" s="930" t="s">
        <v>228</v>
      </c>
      <c r="AJ145" s="575"/>
      <c r="AK145" s="576"/>
      <c r="AL145" s="586"/>
      <c r="AM145" s="586"/>
      <c r="AN145" s="586"/>
      <c r="AO145" s="586"/>
      <c r="AP145" s="586"/>
      <c r="AQ145" s="586"/>
      <c r="AR145" s="586"/>
      <c r="AS145" s="586"/>
      <c r="AT145" s="586"/>
      <c r="AU145" s="586"/>
      <c r="AV145" s="586"/>
    </row>
    <row r="146" spans="1:49" ht="26.25">
      <c r="A146" s="932">
        <v>112</v>
      </c>
      <c r="B146" s="933" t="s">
        <v>228</v>
      </c>
      <c r="C146" s="933" t="s">
        <v>288</v>
      </c>
      <c r="D146" s="933" t="s">
        <v>228</v>
      </c>
      <c r="E146" s="933" t="s">
        <v>357</v>
      </c>
      <c r="F146" s="934" t="s">
        <v>24</v>
      </c>
      <c r="G146" s="933" t="s">
        <v>558</v>
      </c>
      <c r="H146" s="934" t="s">
        <v>125</v>
      </c>
      <c r="I146" s="934" t="s">
        <v>228</v>
      </c>
      <c r="J146" s="933" t="s">
        <v>296</v>
      </c>
      <c r="K146" s="935" t="s">
        <v>228</v>
      </c>
      <c r="L146" s="936" t="s">
        <v>228</v>
      </c>
      <c r="M146" s="937" t="s">
        <v>228</v>
      </c>
      <c r="N146" s="932" t="s">
        <v>228</v>
      </c>
      <c r="O146" s="938" t="s">
        <v>228</v>
      </c>
      <c r="P146" s="938" t="s">
        <v>228</v>
      </c>
      <c r="Q146" s="938" t="s">
        <v>178</v>
      </c>
      <c r="R146" s="938" t="s">
        <v>228</v>
      </c>
      <c r="S146" s="939" t="s">
        <v>228</v>
      </c>
      <c r="T146" s="940" t="s">
        <v>130</v>
      </c>
      <c r="U146" s="941" t="s">
        <v>228</v>
      </c>
      <c r="V146" s="936" t="s">
        <v>460</v>
      </c>
      <c r="W146" s="937" t="s">
        <v>228</v>
      </c>
      <c r="X146" s="942" t="s">
        <v>228</v>
      </c>
      <c r="Y146" s="943" t="s">
        <v>228</v>
      </c>
      <c r="Z146" s="943" t="s">
        <v>228</v>
      </c>
      <c r="AA146" s="943" t="s">
        <v>228</v>
      </c>
      <c r="AB146" s="940" t="s">
        <v>228</v>
      </c>
      <c r="AC146" s="940" t="s">
        <v>228</v>
      </c>
      <c r="AD146" s="944" t="s">
        <v>228</v>
      </c>
      <c r="AE146" s="940" t="s">
        <v>228</v>
      </c>
      <c r="AF146" s="930" t="s">
        <v>228</v>
      </c>
      <c r="AG146" s="930" t="s">
        <v>228</v>
      </c>
      <c r="AH146" s="930" t="s">
        <v>228</v>
      </c>
      <c r="AI146" s="930" t="s">
        <v>228</v>
      </c>
      <c r="AJ146" s="575"/>
      <c r="AK146" s="576"/>
    </row>
    <row r="147" spans="1:49">
      <c r="A147" s="932">
        <v>113</v>
      </c>
      <c r="B147" s="933">
        <v>112</v>
      </c>
      <c r="C147" s="933" t="s">
        <v>288</v>
      </c>
      <c r="D147" s="933" t="s">
        <v>228</v>
      </c>
      <c r="E147" s="933" t="s">
        <v>357</v>
      </c>
      <c r="F147" s="934" t="s">
        <v>24</v>
      </c>
      <c r="G147" s="933" t="s">
        <v>559</v>
      </c>
      <c r="H147" s="934" t="s">
        <v>125</v>
      </c>
      <c r="I147" s="934" t="s">
        <v>228</v>
      </c>
      <c r="J147" s="933" t="s">
        <v>463</v>
      </c>
      <c r="K147" s="935" t="s">
        <v>228</v>
      </c>
      <c r="L147" s="936" t="s">
        <v>228</v>
      </c>
      <c r="M147" s="937" t="s">
        <v>228</v>
      </c>
      <c r="N147" s="932" t="s">
        <v>228</v>
      </c>
      <c r="O147" s="938" t="s">
        <v>228</v>
      </c>
      <c r="P147" s="938" t="s">
        <v>228</v>
      </c>
      <c r="Q147" s="938" t="s">
        <v>178</v>
      </c>
      <c r="R147" s="938" t="s">
        <v>228</v>
      </c>
      <c r="S147" s="939" t="s">
        <v>228</v>
      </c>
      <c r="T147" s="940" t="s">
        <v>130</v>
      </c>
      <c r="U147" s="945" t="s">
        <v>228</v>
      </c>
      <c r="V147" s="934" t="s">
        <v>464</v>
      </c>
      <c r="W147" s="937" t="s">
        <v>228</v>
      </c>
      <c r="X147" s="942" t="s">
        <v>228</v>
      </c>
      <c r="Y147" s="943" t="s">
        <v>228</v>
      </c>
      <c r="Z147" s="943" t="s">
        <v>228</v>
      </c>
      <c r="AA147" s="943" t="s">
        <v>228</v>
      </c>
      <c r="AB147" s="940" t="s">
        <v>228</v>
      </c>
      <c r="AC147" s="940" t="s">
        <v>228</v>
      </c>
      <c r="AD147" s="944" t="s">
        <v>228</v>
      </c>
      <c r="AE147" s="940" t="s">
        <v>228</v>
      </c>
      <c r="AF147" s="930" t="s">
        <v>228</v>
      </c>
      <c r="AG147" s="930" t="s">
        <v>228</v>
      </c>
      <c r="AH147" s="930" t="s">
        <v>228</v>
      </c>
      <c r="AI147" s="930" t="s">
        <v>228</v>
      </c>
      <c r="AJ147" s="584"/>
      <c r="AK147" s="585"/>
    </row>
    <row r="148" spans="1:49">
      <c r="A148" s="932">
        <v>114</v>
      </c>
      <c r="B148" s="933">
        <v>113</v>
      </c>
      <c r="C148" s="933" t="s">
        <v>288</v>
      </c>
      <c r="D148" s="933" t="s">
        <v>228</v>
      </c>
      <c r="E148" s="933" t="s">
        <v>357</v>
      </c>
      <c r="F148" s="940" t="s">
        <v>24</v>
      </c>
      <c r="G148" s="933" t="s">
        <v>560</v>
      </c>
      <c r="H148" s="934" t="s">
        <v>125</v>
      </c>
      <c r="I148" s="941" t="s">
        <v>228</v>
      </c>
      <c r="J148" s="946" t="s">
        <v>467</v>
      </c>
      <c r="K148" s="935" t="s">
        <v>228</v>
      </c>
      <c r="L148" s="936" t="s">
        <v>228</v>
      </c>
      <c r="M148" s="937" t="s">
        <v>228</v>
      </c>
      <c r="N148" s="932" t="s">
        <v>228</v>
      </c>
      <c r="O148" s="938" t="s">
        <v>228</v>
      </c>
      <c r="P148" s="938" t="s">
        <v>228</v>
      </c>
      <c r="Q148" s="938" t="s">
        <v>178</v>
      </c>
      <c r="R148" s="938" t="s">
        <v>228</v>
      </c>
      <c r="S148" s="939" t="s">
        <v>228</v>
      </c>
      <c r="T148" s="940" t="s">
        <v>130</v>
      </c>
      <c r="U148" s="934" t="s">
        <v>228</v>
      </c>
      <c r="V148" s="934" t="s">
        <v>464</v>
      </c>
      <c r="W148" s="937" t="s">
        <v>228</v>
      </c>
      <c r="X148" s="942" t="s">
        <v>228</v>
      </c>
      <c r="Y148" s="943" t="s">
        <v>228</v>
      </c>
      <c r="Z148" s="943" t="s">
        <v>228</v>
      </c>
      <c r="AA148" s="943" t="s">
        <v>228</v>
      </c>
      <c r="AB148" s="940" t="s">
        <v>228</v>
      </c>
      <c r="AC148" s="940" t="s">
        <v>228</v>
      </c>
      <c r="AD148" s="944" t="s">
        <v>228</v>
      </c>
      <c r="AE148" s="940" t="s">
        <v>228</v>
      </c>
      <c r="AF148" s="947" t="s">
        <v>228</v>
      </c>
      <c r="AG148" s="947" t="s">
        <v>228</v>
      </c>
      <c r="AH148" s="947" t="s">
        <v>228</v>
      </c>
      <c r="AI148" s="947" t="s">
        <v>228</v>
      </c>
      <c r="AJ148" s="584"/>
      <c r="AK148" s="585"/>
    </row>
    <row r="149" spans="1:49" ht="26.25">
      <c r="A149" s="932">
        <v>115</v>
      </c>
      <c r="B149" s="933">
        <v>114</v>
      </c>
      <c r="C149" s="933" t="s">
        <v>288</v>
      </c>
      <c r="D149" s="933" t="s">
        <v>228</v>
      </c>
      <c r="E149" s="933" t="s">
        <v>357</v>
      </c>
      <c r="F149" s="940" t="s">
        <v>24</v>
      </c>
      <c r="G149" s="933" t="s">
        <v>561</v>
      </c>
      <c r="H149" s="934" t="s">
        <v>125</v>
      </c>
      <c r="I149" s="945" t="s">
        <v>228</v>
      </c>
      <c r="J149" s="948" t="s">
        <v>470</v>
      </c>
      <c r="K149" s="935" t="s">
        <v>228</v>
      </c>
      <c r="L149" s="936" t="s">
        <v>228</v>
      </c>
      <c r="M149" s="937" t="s">
        <v>228</v>
      </c>
      <c r="N149" s="932" t="s">
        <v>228</v>
      </c>
      <c r="O149" s="938" t="s">
        <v>228</v>
      </c>
      <c r="P149" s="938" t="s">
        <v>228</v>
      </c>
      <c r="Q149" s="938" t="s">
        <v>178</v>
      </c>
      <c r="R149" s="938" t="s">
        <v>228</v>
      </c>
      <c r="S149" s="939" t="s">
        <v>228</v>
      </c>
      <c r="T149" s="940" t="s">
        <v>130</v>
      </c>
      <c r="U149" s="934" t="s">
        <v>228</v>
      </c>
      <c r="V149" s="934" t="s">
        <v>471</v>
      </c>
      <c r="W149" s="937" t="s">
        <v>228</v>
      </c>
      <c r="X149" s="942" t="s">
        <v>228</v>
      </c>
      <c r="Y149" s="943" t="s">
        <v>228</v>
      </c>
      <c r="Z149" s="943" t="s">
        <v>228</v>
      </c>
      <c r="AA149" s="943" t="s">
        <v>228</v>
      </c>
      <c r="AB149" s="940" t="s">
        <v>228</v>
      </c>
      <c r="AC149" s="940" t="s">
        <v>228</v>
      </c>
      <c r="AD149" s="944" t="s">
        <v>228</v>
      </c>
      <c r="AE149" s="940" t="s">
        <v>228</v>
      </c>
      <c r="AF149" s="947" t="s">
        <v>228</v>
      </c>
      <c r="AG149" s="947" t="s">
        <v>228</v>
      </c>
      <c r="AH149" s="947" t="s">
        <v>228</v>
      </c>
      <c r="AI149" s="947" t="s">
        <v>228</v>
      </c>
      <c r="AJ149" s="288"/>
      <c r="AK149" s="287"/>
    </row>
    <row r="150" spans="1:49" ht="26.25">
      <c r="A150" s="932">
        <v>116</v>
      </c>
      <c r="B150" s="933">
        <v>115</v>
      </c>
      <c r="C150" s="933" t="s">
        <v>288</v>
      </c>
      <c r="D150" s="933" t="s">
        <v>228</v>
      </c>
      <c r="E150" s="933" t="s">
        <v>357</v>
      </c>
      <c r="F150" s="934" t="s">
        <v>24</v>
      </c>
      <c r="G150" s="933" t="s">
        <v>562</v>
      </c>
      <c r="H150" s="934" t="s">
        <v>125</v>
      </c>
      <c r="I150" s="934" t="s">
        <v>228</v>
      </c>
      <c r="J150" s="933" t="s">
        <v>470</v>
      </c>
      <c r="K150" s="935" t="s">
        <v>228</v>
      </c>
      <c r="L150" s="936" t="s">
        <v>228</v>
      </c>
      <c r="M150" s="937" t="s">
        <v>228</v>
      </c>
      <c r="N150" s="932" t="s">
        <v>228</v>
      </c>
      <c r="O150" s="938" t="s">
        <v>228</v>
      </c>
      <c r="P150" s="938" t="s">
        <v>228</v>
      </c>
      <c r="Q150" s="938" t="s">
        <v>178</v>
      </c>
      <c r="R150" s="938" t="s">
        <v>228</v>
      </c>
      <c r="S150" s="939" t="s">
        <v>228</v>
      </c>
      <c r="T150" s="940" t="s">
        <v>130</v>
      </c>
      <c r="U150" s="934" t="s">
        <v>228</v>
      </c>
      <c r="V150" s="934" t="s">
        <v>471</v>
      </c>
      <c r="W150" s="937" t="s">
        <v>228</v>
      </c>
      <c r="X150" s="942" t="s">
        <v>228</v>
      </c>
      <c r="Y150" s="943" t="s">
        <v>228</v>
      </c>
      <c r="Z150" s="943" t="s">
        <v>228</v>
      </c>
      <c r="AA150" s="943" t="s">
        <v>228</v>
      </c>
      <c r="AB150" s="940" t="s">
        <v>228</v>
      </c>
      <c r="AC150" s="940" t="s">
        <v>228</v>
      </c>
      <c r="AD150" s="944" t="s">
        <v>228</v>
      </c>
      <c r="AE150" s="940" t="s">
        <v>228</v>
      </c>
      <c r="AF150" s="132"/>
      <c r="AG150" s="132"/>
      <c r="AH150" s="132"/>
      <c r="AI150" s="132"/>
      <c r="AJ150" s="288"/>
      <c r="AK150" s="287"/>
    </row>
    <row r="151" spans="1:49">
      <c r="A151" s="949">
        <v>117</v>
      </c>
      <c r="B151" s="950" t="s">
        <v>228</v>
      </c>
      <c r="C151" s="950" t="s">
        <v>288</v>
      </c>
      <c r="D151" s="950" t="s">
        <v>228</v>
      </c>
      <c r="E151" s="950" t="s">
        <v>367</v>
      </c>
      <c r="F151" s="951" t="s">
        <v>24</v>
      </c>
      <c r="G151" s="950" t="s">
        <v>563</v>
      </c>
      <c r="H151" s="952" t="s">
        <v>125</v>
      </c>
      <c r="I151" s="953" t="s">
        <v>228</v>
      </c>
      <c r="J151" s="954" t="s">
        <v>463</v>
      </c>
      <c r="K151" s="955" t="s">
        <v>228</v>
      </c>
      <c r="L151" s="956" t="s">
        <v>228</v>
      </c>
      <c r="M151" s="957" t="s">
        <v>228</v>
      </c>
      <c r="N151" s="949" t="s">
        <v>228</v>
      </c>
      <c r="O151" s="958" t="s">
        <v>228</v>
      </c>
      <c r="P151" s="958" t="s">
        <v>228</v>
      </c>
      <c r="Q151" s="958" t="s">
        <v>178</v>
      </c>
      <c r="R151" s="958" t="s">
        <v>228</v>
      </c>
      <c r="S151" s="959" t="s">
        <v>228</v>
      </c>
      <c r="T151" s="951" t="s">
        <v>130</v>
      </c>
      <c r="U151" s="952" t="s">
        <v>228</v>
      </c>
      <c r="V151" s="952" t="s">
        <v>550</v>
      </c>
      <c r="W151" s="960" t="s">
        <v>228</v>
      </c>
      <c r="X151" s="951" t="s">
        <v>228</v>
      </c>
      <c r="Y151" s="951" t="s">
        <v>228</v>
      </c>
      <c r="Z151" s="961" t="s">
        <v>228</v>
      </c>
      <c r="AA151" s="961" t="s">
        <v>228</v>
      </c>
      <c r="AB151" s="962" t="s">
        <v>228</v>
      </c>
      <c r="AC151" s="951" t="s">
        <v>228</v>
      </c>
      <c r="AD151" s="961" t="s">
        <v>228</v>
      </c>
      <c r="AE151" s="951" t="s">
        <v>228</v>
      </c>
      <c r="AF151" s="132"/>
      <c r="AG151" s="132"/>
      <c r="AH151" s="132"/>
      <c r="AI151" s="132"/>
      <c r="AJ151" s="288"/>
      <c r="AK151" s="287"/>
    </row>
    <row r="152" spans="1:49" ht="26.25">
      <c r="A152" s="949">
        <v>118</v>
      </c>
      <c r="B152" s="950">
        <v>99</v>
      </c>
      <c r="C152" s="950" t="s">
        <v>288</v>
      </c>
      <c r="D152" s="950" t="s">
        <v>228</v>
      </c>
      <c r="E152" s="950" t="s">
        <v>367</v>
      </c>
      <c r="F152" s="951" t="s">
        <v>24</v>
      </c>
      <c r="G152" s="963" t="s">
        <v>564</v>
      </c>
      <c r="H152" s="952" t="s">
        <v>125</v>
      </c>
      <c r="I152" s="964" t="s">
        <v>228</v>
      </c>
      <c r="J152" s="965" t="s">
        <v>470</v>
      </c>
      <c r="K152" s="955" t="s">
        <v>228</v>
      </c>
      <c r="L152" s="956" t="s">
        <v>228</v>
      </c>
      <c r="M152" s="957" t="s">
        <v>228</v>
      </c>
      <c r="N152" s="966" t="s">
        <v>228</v>
      </c>
      <c r="O152" s="958" t="s">
        <v>228</v>
      </c>
      <c r="P152" s="958" t="s">
        <v>228</v>
      </c>
      <c r="Q152" s="958" t="s">
        <v>178</v>
      </c>
      <c r="R152" s="958" t="s">
        <v>228</v>
      </c>
      <c r="S152" s="959" t="s">
        <v>228</v>
      </c>
      <c r="T152" s="951" t="s">
        <v>130</v>
      </c>
      <c r="U152" s="952" t="s">
        <v>228</v>
      </c>
      <c r="V152" s="952" t="s">
        <v>471</v>
      </c>
      <c r="W152" s="960" t="s">
        <v>228</v>
      </c>
      <c r="X152" s="951" t="s">
        <v>228</v>
      </c>
      <c r="Y152" s="951" t="s">
        <v>228</v>
      </c>
      <c r="Z152" s="961" t="s">
        <v>228</v>
      </c>
      <c r="AA152" s="961" t="s">
        <v>228</v>
      </c>
      <c r="AB152" s="962" t="s">
        <v>228</v>
      </c>
      <c r="AC152" s="951" t="s">
        <v>228</v>
      </c>
      <c r="AD152" s="961" t="s">
        <v>228</v>
      </c>
      <c r="AE152" s="951" t="s">
        <v>228</v>
      </c>
      <c r="AF152" s="132"/>
      <c r="AG152" s="132"/>
      <c r="AH152" s="132"/>
      <c r="AI152" s="132"/>
      <c r="AJ152" s="288"/>
      <c r="AK152" s="287"/>
      <c r="AW152" s="468"/>
    </row>
    <row r="153" spans="1:49">
      <c r="A153" s="889">
        <v>119</v>
      </c>
      <c r="B153" s="890">
        <v>106</v>
      </c>
      <c r="C153" s="894" t="s">
        <v>288</v>
      </c>
      <c r="D153" s="894" t="s">
        <v>228</v>
      </c>
      <c r="E153" s="894" t="s">
        <v>355</v>
      </c>
      <c r="F153" s="900" t="s">
        <v>24</v>
      </c>
      <c r="G153" s="894" t="s">
        <v>524</v>
      </c>
      <c r="H153" s="900" t="s">
        <v>125</v>
      </c>
      <c r="I153" s="900" t="s">
        <v>228</v>
      </c>
      <c r="J153" s="894" t="s">
        <v>463</v>
      </c>
      <c r="K153" s="895" t="s">
        <v>228</v>
      </c>
      <c r="L153" s="896" t="s">
        <v>228</v>
      </c>
      <c r="M153" s="897" t="s">
        <v>228</v>
      </c>
      <c r="N153" s="967" t="s">
        <v>228</v>
      </c>
      <c r="O153" s="898" t="s">
        <v>228</v>
      </c>
      <c r="P153" s="898" t="s">
        <v>228</v>
      </c>
      <c r="Q153" s="898" t="s">
        <v>129</v>
      </c>
      <c r="R153" s="898" t="s">
        <v>228</v>
      </c>
      <c r="S153" s="899" t="s">
        <v>228</v>
      </c>
      <c r="T153" s="893" t="s">
        <v>130</v>
      </c>
      <c r="U153" s="900" t="s">
        <v>228</v>
      </c>
      <c r="V153" s="900" t="s">
        <v>550</v>
      </c>
      <c r="W153" s="894" t="s">
        <v>228</v>
      </c>
      <c r="X153" s="968" t="s">
        <v>228</v>
      </c>
      <c r="Y153" s="906" t="s">
        <v>228</v>
      </c>
      <c r="Z153" s="902" t="s">
        <v>228</v>
      </c>
      <c r="AA153" s="893" t="s">
        <v>228</v>
      </c>
      <c r="AB153" s="886" t="s">
        <v>228</v>
      </c>
      <c r="AC153" s="902" t="s">
        <v>228</v>
      </c>
      <c r="AD153" s="886" t="s">
        <v>228</v>
      </c>
      <c r="AE153" s="886" t="s">
        <v>228</v>
      </c>
      <c r="AF153" s="886" t="s">
        <v>228</v>
      </c>
      <c r="AG153" s="886" t="s">
        <v>228</v>
      </c>
      <c r="AH153" s="886" t="s">
        <v>228</v>
      </c>
      <c r="AI153" s="886" t="s">
        <v>228</v>
      </c>
      <c r="AJ153" s="288"/>
      <c r="AK153" s="287"/>
      <c r="AW153" s="468"/>
    </row>
    <row r="154" spans="1:49" ht="25.5">
      <c r="A154" s="889">
        <v>120</v>
      </c>
      <c r="B154" s="890">
        <v>119</v>
      </c>
      <c r="C154" s="894" t="s">
        <v>288</v>
      </c>
      <c r="D154" s="894" t="s">
        <v>228</v>
      </c>
      <c r="E154" s="900" t="s">
        <v>355</v>
      </c>
      <c r="F154" s="893" t="s">
        <v>24</v>
      </c>
      <c r="G154" s="900" t="s">
        <v>565</v>
      </c>
      <c r="H154" s="900" t="s">
        <v>125</v>
      </c>
      <c r="I154" s="900" t="s">
        <v>228</v>
      </c>
      <c r="J154" s="894" t="s">
        <v>470</v>
      </c>
      <c r="K154" s="895" t="s">
        <v>228</v>
      </c>
      <c r="L154" s="896" t="s">
        <v>228</v>
      </c>
      <c r="M154" s="897" t="s">
        <v>228</v>
      </c>
      <c r="N154" s="889" t="s">
        <v>228</v>
      </c>
      <c r="O154" s="898" t="s">
        <v>228</v>
      </c>
      <c r="P154" s="898" t="s">
        <v>228</v>
      </c>
      <c r="Q154" s="898" t="s">
        <v>129</v>
      </c>
      <c r="R154" s="898" t="s">
        <v>228</v>
      </c>
      <c r="S154" s="899" t="s">
        <v>228</v>
      </c>
      <c r="T154" s="893" t="s">
        <v>130</v>
      </c>
      <c r="U154" s="900" t="s">
        <v>228</v>
      </c>
      <c r="V154" s="900" t="s">
        <v>471</v>
      </c>
      <c r="W154" s="894" t="s">
        <v>228</v>
      </c>
      <c r="X154" s="968" t="s">
        <v>228</v>
      </c>
      <c r="Y154" s="906" t="s">
        <v>228</v>
      </c>
      <c r="Z154" s="902" t="s">
        <v>228</v>
      </c>
      <c r="AA154" s="893" t="s">
        <v>228</v>
      </c>
      <c r="AB154" s="886" t="s">
        <v>228</v>
      </c>
      <c r="AC154" s="902" t="s">
        <v>228</v>
      </c>
      <c r="AD154" s="886" t="s">
        <v>228</v>
      </c>
      <c r="AE154" s="886" t="s">
        <v>228</v>
      </c>
      <c r="AF154" s="886" t="s">
        <v>228</v>
      </c>
      <c r="AG154" s="886" t="s">
        <v>228</v>
      </c>
      <c r="AH154" s="886" t="s">
        <v>228</v>
      </c>
      <c r="AI154" s="886" t="s">
        <v>228</v>
      </c>
      <c r="AJ154" s="288"/>
      <c r="AK154" s="287"/>
      <c r="AW154" s="468"/>
    </row>
    <row r="155" spans="1:49" ht="26.25">
      <c r="A155" s="889">
        <v>121</v>
      </c>
      <c r="B155" s="890">
        <v>120</v>
      </c>
      <c r="C155" s="894" t="s">
        <v>288</v>
      </c>
      <c r="D155" s="894" t="s">
        <v>228</v>
      </c>
      <c r="E155" s="894" t="s">
        <v>355</v>
      </c>
      <c r="F155" s="900" t="s">
        <v>24</v>
      </c>
      <c r="G155" s="893" t="s">
        <v>566</v>
      </c>
      <c r="H155" s="893" t="s">
        <v>125</v>
      </c>
      <c r="I155" s="893" t="s">
        <v>228</v>
      </c>
      <c r="J155" s="890" t="s">
        <v>470</v>
      </c>
      <c r="K155" s="895" t="s">
        <v>228</v>
      </c>
      <c r="L155" s="896" t="s">
        <v>228</v>
      </c>
      <c r="M155" s="897" t="s">
        <v>228</v>
      </c>
      <c r="N155" s="889" t="s">
        <v>228</v>
      </c>
      <c r="O155" s="898" t="s">
        <v>228</v>
      </c>
      <c r="P155" s="898" t="s">
        <v>228</v>
      </c>
      <c r="Q155" s="898" t="s">
        <v>129</v>
      </c>
      <c r="R155" s="898" t="s">
        <v>228</v>
      </c>
      <c r="S155" s="899" t="s">
        <v>228</v>
      </c>
      <c r="T155" s="893" t="s">
        <v>130</v>
      </c>
      <c r="U155" s="900" t="s">
        <v>228</v>
      </c>
      <c r="V155" s="900" t="s">
        <v>471</v>
      </c>
      <c r="W155" s="894" t="s">
        <v>228</v>
      </c>
      <c r="X155" s="968" t="s">
        <v>228</v>
      </c>
      <c r="Y155" s="906" t="s">
        <v>228</v>
      </c>
      <c r="Z155" s="902" t="s">
        <v>228</v>
      </c>
      <c r="AA155" s="893" t="s">
        <v>228</v>
      </c>
      <c r="AB155" s="886" t="s">
        <v>228</v>
      </c>
      <c r="AC155" s="902" t="s">
        <v>228</v>
      </c>
      <c r="AD155" s="969" t="s">
        <v>228</v>
      </c>
      <c r="AE155" s="970" t="s">
        <v>228</v>
      </c>
      <c r="AF155" s="886" t="s">
        <v>228</v>
      </c>
      <c r="AG155" s="886" t="s">
        <v>228</v>
      </c>
      <c r="AH155" s="886" t="s">
        <v>228</v>
      </c>
      <c r="AI155" s="886" t="s">
        <v>228</v>
      </c>
      <c r="AJ155" s="288"/>
      <c r="AK155" s="287"/>
    </row>
    <row r="156" spans="1:49" ht="25.5">
      <c r="A156" s="1066">
        <v>122</v>
      </c>
      <c r="B156" s="1097"/>
      <c r="C156" s="1098" t="s">
        <v>288</v>
      </c>
      <c r="D156" s="1098"/>
      <c r="E156" s="1069" t="s">
        <v>262</v>
      </c>
      <c r="F156" s="1090" t="s">
        <v>24</v>
      </c>
      <c r="G156" s="1099" t="s">
        <v>567</v>
      </c>
      <c r="H156" s="1099" t="s">
        <v>125</v>
      </c>
      <c r="I156" s="1099"/>
      <c r="J156" s="1100" t="s">
        <v>470</v>
      </c>
      <c r="K156" s="1101"/>
      <c r="L156" s="1102"/>
      <c r="M156" s="1103"/>
      <c r="N156" s="1075"/>
      <c r="O156" s="1076"/>
      <c r="P156" s="1077"/>
      <c r="Q156" s="1077" t="s">
        <v>178</v>
      </c>
      <c r="R156" s="1078"/>
      <c r="S156" s="1073"/>
      <c r="T156" s="1104" t="s">
        <v>130</v>
      </c>
      <c r="U156" s="1105"/>
      <c r="V156" s="1106" t="s">
        <v>471</v>
      </c>
      <c r="W156" s="1107"/>
      <c r="X156" s="1108"/>
      <c r="Y156" s="1108"/>
      <c r="Z156" s="1108"/>
      <c r="AA156" s="1109"/>
      <c r="AB156" s="1109"/>
      <c r="AC156" s="1110"/>
      <c r="AD156" s="1111"/>
      <c r="AE156" s="1112"/>
      <c r="AF156" s="1113"/>
      <c r="AG156" s="1113"/>
      <c r="AH156" s="1090"/>
      <c r="AI156" s="1114"/>
      <c r="AJ156" s="1115"/>
      <c r="AK156" s="1116"/>
      <c r="AL156" s="1117"/>
      <c r="AM156" s="1117"/>
      <c r="AN156" s="1117"/>
      <c r="AO156" s="1117"/>
      <c r="AP156" s="1117"/>
      <c r="AQ156" s="1117"/>
      <c r="AR156" s="1117"/>
      <c r="AS156" s="1117"/>
      <c r="AT156" s="1117"/>
      <c r="AU156" s="1117"/>
      <c r="AV156" s="1117"/>
    </row>
    <row r="157" spans="1:49" ht="25.5">
      <c r="A157" s="1066">
        <v>123</v>
      </c>
      <c r="B157" s="1097"/>
      <c r="C157" s="1098" t="s">
        <v>288</v>
      </c>
      <c r="D157" s="1098"/>
      <c r="E157" s="1069" t="s">
        <v>262</v>
      </c>
      <c r="F157" s="1090" t="s">
        <v>24</v>
      </c>
      <c r="G157" s="1099" t="s">
        <v>568</v>
      </c>
      <c r="H157" s="1099" t="s">
        <v>125</v>
      </c>
      <c r="I157" s="1099"/>
      <c r="J157" s="1100" t="s">
        <v>470</v>
      </c>
      <c r="K157" s="1101"/>
      <c r="L157" s="1102"/>
      <c r="M157" s="1103"/>
      <c r="N157" s="1075"/>
      <c r="O157" s="1076"/>
      <c r="P157" s="1077"/>
      <c r="Q157" s="1077" t="s">
        <v>178</v>
      </c>
      <c r="R157" s="1078"/>
      <c r="S157" s="1073"/>
      <c r="T157" s="1104" t="s">
        <v>130</v>
      </c>
      <c r="U157" s="1105"/>
      <c r="V157" s="1106" t="s">
        <v>471</v>
      </c>
      <c r="W157" s="1107"/>
      <c r="X157" s="1108"/>
      <c r="Y157" s="1108"/>
      <c r="Z157" s="1108"/>
      <c r="AA157" s="1109"/>
      <c r="AB157" s="1109"/>
      <c r="AC157" s="1110"/>
      <c r="AD157" s="1111"/>
      <c r="AE157" s="1112"/>
      <c r="AF157" s="1113"/>
      <c r="AG157" s="1113"/>
      <c r="AH157" s="1090"/>
      <c r="AI157" s="1114"/>
      <c r="AJ157" s="1115"/>
      <c r="AK157" s="1116"/>
      <c r="AL157" s="1117"/>
      <c r="AM157" s="1117"/>
      <c r="AN157" s="1117"/>
      <c r="AO157" s="1117"/>
      <c r="AP157" s="1117"/>
      <c r="AQ157" s="1117"/>
      <c r="AR157" s="1117"/>
      <c r="AS157" s="1117"/>
      <c r="AT157" s="1117"/>
      <c r="AU157" s="1117"/>
      <c r="AV157" s="1117"/>
    </row>
    <row r="158" spans="1:49" ht="25.5">
      <c r="A158" s="1066">
        <v>124</v>
      </c>
      <c r="B158" s="1097"/>
      <c r="C158" s="1098" t="s">
        <v>288</v>
      </c>
      <c r="D158" s="1098"/>
      <c r="E158" s="1069" t="s">
        <v>262</v>
      </c>
      <c r="F158" s="1090" t="s">
        <v>24</v>
      </c>
      <c r="G158" s="1099" t="s">
        <v>569</v>
      </c>
      <c r="H158" s="1099" t="s">
        <v>125</v>
      </c>
      <c r="I158" s="1099"/>
      <c r="J158" s="1100" t="s">
        <v>470</v>
      </c>
      <c r="K158" s="1101"/>
      <c r="L158" s="1102"/>
      <c r="M158" s="1103"/>
      <c r="N158" s="1075"/>
      <c r="O158" s="1076"/>
      <c r="P158" s="1077"/>
      <c r="Q158" s="1077" t="s">
        <v>178</v>
      </c>
      <c r="R158" s="1078"/>
      <c r="S158" s="1073"/>
      <c r="T158" s="1104" t="s">
        <v>130</v>
      </c>
      <c r="U158" s="1105"/>
      <c r="V158" s="1106" t="s">
        <v>471</v>
      </c>
      <c r="W158" s="1107"/>
      <c r="X158" s="1108"/>
      <c r="Y158" s="1108"/>
      <c r="Z158" s="1108"/>
      <c r="AA158" s="1109"/>
      <c r="AB158" s="1109"/>
      <c r="AC158" s="1110"/>
      <c r="AD158" s="1111"/>
      <c r="AE158" s="1112"/>
      <c r="AF158" s="1113"/>
      <c r="AG158" s="1113"/>
      <c r="AH158" s="1090"/>
      <c r="AI158" s="1114"/>
      <c r="AJ158" s="1115"/>
      <c r="AK158" s="1116"/>
      <c r="AL158" s="1117"/>
      <c r="AM158" s="1117"/>
      <c r="AN158" s="1117"/>
      <c r="AO158" s="1117"/>
      <c r="AP158" s="1117"/>
      <c r="AQ158" s="1117"/>
      <c r="AR158" s="1117"/>
      <c r="AS158" s="1117"/>
      <c r="AT158" s="1117"/>
      <c r="AU158" s="1117"/>
      <c r="AV158" s="1117"/>
    </row>
    <row r="159" spans="1:49">
      <c r="N159" s="62"/>
      <c r="AI159" s="132"/>
      <c r="AK159" s="505"/>
    </row>
    <row r="160" spans="1:49">
      <c r="N160" s="62"/>
      <c r="AI160" s="132"/>
      <c r="AK160" s="505"/>
    </row>
    <row r="161" spans="1:37">
      <c r="B161" s="96" t="s">
        <v>570</v>
      </c>
      <c r="N161" s="62"/>
      <c r="AI161" s="132"/>
      <c r="AK161" s="505"/>
    </row>
    <row r="162" spans="1:37">
      <c r="B162" s="97" t="s">
        <v>571</v>
      </c>
      <c r="N162" s="62"/>
      <c r="AI162" s="132"/>
      <c r="AK162" s="505"/>
    </row>
    <row r="163" spans="1:37">
      <c r="B163" s="97" t="s">
        <v>572</v>
      </c>
      <c r="N163" s="62"/>
      <c r="AI163" s="132"/>
      <c r="AK163" s="505"/>
    </row>
    <row r="164" spans="1:37">
      <c r="B164" s="97" t="s">
        <v>573</v>
      </c>
      <c r="N164" s="62"/>
      <c r="AI164" s="132"/>
      <c r="AK164" s="505"/>
    </row>
    <row r="165" spans="1:37">
      <c r="B165" s="98" t="s">
        <v>574</v>
      </c>
      <c r="N165" s="62"/>
      <c r="AI165" s="132"/>
      <c r="AK165" s="505"/>
    </row>
    <row r="166" spans="1:37">
      <c r="B166" s="98" t="s">
        <v>575</v>
      </c>
      <c r="N166" s="62"/>
      <c r="AI166" s="132"/>
      <c r="AK166" s="505"/>
    </row>
    <row r="167" spans="1:37" ht="72">
      <c r="A167" s="107" t="s">
        <v>576</v>
      </c>
      <c r="B167" s="106" t="s">
        <v>132</v>
      </c>
      <c r="N167" s="62"/>
      <c r="AI167" s="132"/>
      <c r="AK167" s="505"/>
    </row>
    <row r="168" spans="1:37">
      <c r="N168" s="62"/>
      <c r="AI168" s="132"/>
      <c r="AK168" s="505"/>
    </row>
    <row r="169" spans="1:37">
      <c r="N169" s="62"/>
      <c r="AK169" s="505"/>
    </row>
    <row r="170" spans="1:37" ht="108">
      <c r="B170" s="248" t="s">
        <v>577</v>
      </c>
      <c r="N170" s="62"/>
      <c r="AK170" s="505"/>
    </row>
    <row r="171" spans="1:37" ht="276">
      <c r="B171" s="248" t="s">
        <v>578</v>
      </c>
      <c r="N171" s="62"/>
      <c r="AK171" s="505"/>
    </row>
    <row r="172" spans="1:37">
      <c r="N172" s="62"/>
      <c r="AK172" s="505"/>
    </row>
    <row r="173" spans="1:37">
      <c r="N173" s="62"/>
      <c r="AK173" s="505"/>
    </row>
    <row r="174" spans="1:37">
      <c r="N174" s="62"/>
      <c r="AK174" s="505"/>
    </row>
    <row r="175" spans="1:37">
      <c r="N175" s="62"/>
      <c r="AK175" s="505"/>
    </row>
    <row r="176" spans="1:37">
      <c r="N176" s="62"/>
      <c r="AK176" s="505"/>
    </row>
    <row r="177" spans="14:37">
      <c r="N177" s="62"/>
      <c r="AK177" s="505"/>
    </row>
    <row r="178" spans="14:37">
      <c r="N178" s="62"/>
      <c r="AK178" s="505"/>
    </row>
    <row r="179" spans="14:37">
      <c r="N179" s="62"/>
      <c r="AK179" s="505"/>
    </row>
    <row r="180" spans="14:37">
      <c r="N180" s="62"/>
      <c r="AK180" s="505"/>
    </row>
    <row r="181" spans="14:37">
      <c r="N181" s="62"/>
      <c r="AK181" s="505"/>
    </row>
    <row r="182" spans="14:37">
      <c r="N182" s="62"/>
      <c r="AK182" s="505"/>
    </row>
    <row r="183" spans="14:37">
      <c r="N183" s="62"/>
      <c r="AK183" s="505"/>
    </row>
    <row r="184" spans="14:37">
      <c r="N184" s="62"/>
      <c r="AK184" s="505"/>
    </row>
    <row r="185" spans="14:37">
      <c r="N185" s="62"/>
      <c r="AK185" s="505"/>
    </row>
    <row r="186" spans="14:37">
      <c r="N186" s="62"/>
      <c r="AK186" s="505"/>
    </row>
    <row r="187" spans="14:37">
      <c r="N187" s="62"/>
      <c r="AK187" s="505"/>
    </row>
    <row r="188" spans="14:37">
      <c r="N188" s="62"/>
      <c r="AK188" s="505"/>
    </row>
    <row r="189" spans="14:37">
      <c r="N189" s="62"/>
      <c r="AK189" s="505"/>
    </row>
    <row r="190" spans="14:37">
      <c r="N190" s="62"/>
      <c r="AK190" s="505"/>
    </row>
    <row r="191" spans="14:37">
      <c r="N191" s="62"/>
      <c r="AK191" s="505"/>
    </row>
    <row r="192" spans="14:37">
      <c r="N192" s="62"/>
      <c r="AK192" s="505"/>
    </row>
    <row r="193" spans="14:37">
      <c r="N193" s="62"/>
      <c r="AK193" s="505"/>
    </row>
    <row r="194" spans="14:37">
      <c r="N194" s="62"/>
      <c r="AK194" s="505"/>
    </row>
    <row r="195" spans="14:37">
      <c r="N195" s="62"/>
      <c r="AK195" s="505"/>
    </row>
    <row r="196" spans="14:37">
      <c r="N196" s="62"/>
      <c r="AK196" s="505"/>
    </row>
    <row r="197" spans="14:37">
      <c r="N197" s="62"/>
      <c r="AK197" s="505"/>
    </row>
    <row r="198" spans="14:37">
      <c r="N198" s="62"/>
      <c r="AK198" s="505"/>
    </row>
    <row r="199" spans="14:37">
      <c r="N199" s="62"/>
      <c r="AK199" s="505"/>
    </row>
    <row r="200" spans="14:37">
      <c r="N200" s="62"/>
      <c r="AK200" s="505"/>
    </row>
    <row r="201" spans="14:37">
      <c r="N201" s="62"/>
      <c r="AK201" s="505"/>
    </row>
    <row r="202" spans="14:37">
      <c r="N202" s="62"/>
      <c r="AK202" s="505"/>
    </row>
    <row r="203" spans="14:37">
      <c r="N203" s="62"/>
      <c r="AK203" s="505"/>
    </row>
    <row r="204" spans="14:37">
      <c r="N204" s="62"/>
      <c r="AK204" s="505"/>
    </row>
    <row r="205" spans="14:37">
      <c r="N205" s="62"/>
      <c r="AK205" s="505"/>
    </row>
    <row r="206" spans="14:37">
      <c r="N206" s="62"/>
      <c r="AK206" s="505"/>
    </row>
    <row r="207" spans="14:37">
      <c r="N207" s="62"/>
      <c r="AK207" s="505"/>
    </row>
    <row r="208" spans="14:37">
      <c r="N208" s="62"/>
      <c r="AK208" s="505"/>
    </row>
    <row r="209" spans="14:37">
      <c r="N209" s="62"/>
      <c r="AK209" s="505"/>
    </row>
    <row r="210" spans="14:37">
      <c r="N210" s="62"/>
      <c r="AK210" s="505"/>
    </row>
    <row r="211" spans="14:37">
      <c r="N211" s="62"/>
      <c r="AK211" s="505"/>
    </row>
    <row r="212" spans="14:37">
      <c r="N212" s="62"/>
      <c r="AK212" s="505"/>
    </row>
    <row r="213" spans="14:37">
      <c r="N213" s="62"/>
      <c r="AK213" s="505"/>
    </row>
    <row r="214" spans="14:37">
      <c r="N214" s="62"/>
      <c r="AK214" s="505"/>
    </row>
    <row r="215" spans="14:37">
      <c r="N215" s="62"/>
      <c r="AK215" s="505"/>
    </row>
    <row r="216" spans="14:37">
      <c r="N216" s="62"/>
      <c r="AK216" s="505"/>
    </row>
    <row r="217" spans="14:37">
      <c r="N217" s="62"/>
      <c r="AK217" s="505"/>
    </row>
    <row r="218" spans="14:37">
      <c r="N218" s="62"/>
      <c r="AK218" s="505"/>
    </row>
    <row r="219" spans="14:37">
      <c r="N219" s="62"/>
      <c r="AK219" s="505"/>
    </row>
    <row r="220" spans="14:37">
      <c r="N220" s="62"/>
      <c r="AK220" s="505"/>
    </row>
    <row r="221" spans="14:37">
      <c r="N221" s="62"/>
      <c r="AK221" s="505"/>
    </row>
    <row r="222" spans="14:37">
      <c r="N222" s="62"/>
      <c r="AK222" s="505"/>
    </row>
    <row r="223" spans="14:37">
      <c r="N223" s="62"/>
      <c r="AK223" s="505"/>
    </row>
    <row r="224" spans="14:37">
      <c r="N224" s="62"/>
      <c r="AK224" s="505"/>
    </row>
    <row r="225" spans="14:37">
      <c r="N225" s="62"/>
      <c r="AK225" s="505"/>
    </row>
    <row r="226" spans="14:37">
      <c r="N226" s="62"/>
      <c r="AK226" s="505"/>
    </row>
    <row r="227" spans="14:37">
      <c r="N227" s="62"/>
      <c r="AK227" s="505"/>
    </row>
    <row r="228" spans="14:37">
      <c r="N228" s="62"/>
      <c r="AK228" s="505"/>
    </row>
    <row r="229" spans="14:37">
      <c r="N229" s="62"/>
      <c r="AK229" s="505"/>
    </row>
    <row r="230" spans="14:37">
      <c r="N230" s="62"/>
    </row>
    <row r="231" spans="14:37">
      <c r="N231" s="62"/>
    </row>
    <row r="232" spans="14:37">
      <c r="N232" s="62"/>
    </row>
    <row r="233" spans="14:37">
      <c r="N233" s="62"/>
    </row>
    <row r="234" spans="14:37">
      <c r="N234" s="62"/>
    </row>
    <row r="235" spans="14:37">
      <c r="N235" s="62"/>
    </row>
    <row r="236" spans="14:37">
      <c r="N236" s="62"/>
    </row>
    <row r="237" spans="14:37">
      <c r="N237" s="62"/>
    </row>
    <row r="238" spans="14:37">
      <c r="N238" s="62"/>
    </row>
    <row r="239" spans="14:37">
      <c r="N239" s="62"/>
    </row>
    <row r="240" spans="14:37">
      <c r="N240" s="62"/>
    </row>
    <row r="241" spans="14:14">
      <c r="N241" s="62"/>
    </row>
    <row r="242" spans="14:14">
      <c r="N242" s="62"/>
    </row>
    <row r="243" spans="14:14">
      <c r="N243" s="62"/>
    </row>
    <row r="244" spans="14:14">
      <c r="N244" s="62"/>
    </row>
    <row r="245" spans="14:14">
      <c r="N245" s="62"/>
    </row>
    <row r="246" spans="14:14">
      <c r="N246" s="62"/>
    </row>
    <row r="247" spans="14:14">
      <c r="N247" s="62"/>
    </row>
    <row r="248" spans="14:14">
      <c r="N248" s="62"/>
    </row>
    <row r="249" spans="14:14">
      <c r="N249" s="62"/>
    </row>
    <row r="250" spans="14:14">
      <c r="N250" s="62"/>
    </row>
    <row r="251" spans="14:14">
      <c r="N251" s="62"/>
    </row>
    <row r="252" spans="14:14">
      <c r="N252" s="62"/>
    </row>
    <row r="253" spans="14:14">
      <c r="N253" s="62"/>
    </row>
    <row r="254" spans="14:14">
      <c r="N254" s="62"/>
    </row>
    <row r="255" spans="14:14">
      <c r="N255" s="62"/>
    </row>
    <row r="256" spans="14:14">
      <c r="N256" s="62"/>
    </row>
    <row r="257" spans="14:14">
      <c r="N257" s="62"/>
    </row>
    <row r="258" spans="14:14">
      <c r="N258" s="62"/>
    </row>
    <row r="259" spans="14:14">
      <c r="N259" s="62"/>
    </row>
    <row r="260" spans="14:14">
      <c r="N260" s="62"/>
    </row>
    <row r="261" spans="14:14">
      <c r="N261" s="62"/>
    </row>
    <row r="262" spans="14:14">
      <c r="N262" s="62"/>
    </row>
    <row r="263" spans="14:14">
      <c r="N263" s="62"/>
    </row>
    <row r="264" spans="14:14">
      <c r="N264" s="62"/>
    </row>
    <row r="265" spans="14:14">
      <c r="N265" s="62"/>
    </row>
    <row r="266" spans="14:14">
      <c r="N266" s="62"/>
    </row>
    <row r="267" spans="14:14">
      <c r="N267" s="62"/>
    </row>
    <row r="268" spans="14:14">
      <c r="N268" s="62"/>
    </row>
    <row r="269" spans="14:14">
      <c r="N269" s="62"/>
    </row>
    <row r="270" spans="14:14">
      <c r="N270" s="62"/>
    </row>
    <row r="271" spans="14:14">
      <c r="N271" s="62"/>
    </row>
    <row r="272" spans="14:14">
      <c r="N272" s="62"/>
    </row>
    <row r="273" spans="14:14">
      <c r="N273" s="62"/>
    </row>
    <row r="274" spans="14:14">
      <c r="N274" s="62"/>
    </row>
    <row r="275" spans="14:14">
      <c r="N275" s="62"/>
    </row>
    <row r="276" spans="14:14">
      <c r="N276" s="62"/>
    </row>
    <row r="277" spans="14:14">
      <c r="N277" s="62"/>
    </row>
    <row r="278" spans="14:14">
      <c r="N278" s="62"/>
    </row>
    <row r="279" spans="14:14">
      <c r="N279" s="62"/>
    </row>
    <row r="280" spans="14:14">
      <c r="N280" s="62"/>
    </row>
    <row r="281" spans="14:14">
      <c r="N281" s="62"/>
    </row>
    <row r="282" spans="14:14">
      <c r="N282" s="62"/>
    </row>
    <row r="283" spans="14:14">
      <c r="N283" s="62"/>
    </row>
    <row r="284" spans="14:14">
      <c r="N284" s="62"/>
    </row>
    <row r="285" spans="14:14">
      <c r="N285" s="62"/>
    </row>
    <row r="286" spans="14:14">
      <c r="N286" s="62"/>
    </row>
    <row r="287" spans="14:14">
      <c r="N287" s="62"/>
    </row>
    <row r="288" spans="14:14">
      <c r="N288" s="62"/>
    </row>
    <row r="289" spans="14:14">
      <c r="N289" s="62"/>
    </row>
    <row r="290" spans="14:14">
      <c r="N290" s="62"/>
    </row>
    <row r="291" spans="14:14">
      <c r="N291" s="62"/>
    </row>
    <row r="292" spans="14:14">
      <c r="N292" s="62"/>
    </row>
    <row r="293" spans="14:14">
      <c r="N293" s="62"/>
    </row>
    <row r="294" spans="14:14">
      <c r="N294" s="62"/>
    </row>
    <row r="295" spans="14:14">
      <c r="N295" s="62"/>
    </row>
    <row r="296" spans="14:14">
      <c r="N296" s="62"/>
    </row>
    <row r="297" spans="14:14">
      <c r="N297" s="62"/>
    </row>
    <row r="298" spans="14:14">
      <c r="N298" s="62"/>
    </row>
    <row r="299" spans="14:14">
      <c r="N299" s="62"/>
    </row>
    <row r="300" spans="14:14">
      <c r="N300" s="62"/>
    </row>
    <row r="301" spans="14:14">
      <c r="N301" s="62"/>
    </row>
    <row r="302" spans="14:14">
      <c r="N302" s="62"/>
    </row>
    <row r="303" spans="14:14">
      <c r="N303" s="62"/>
    </row>
    <row r="304" spans="14:14">
      <c r="N304" s="62"/>
    </row>
    <row r="305" spans="14:14">
      <c r="N305" s="62"/>
    </row>
    <row r="306" spans="14:14">
      <c r="N306" s="62"/>
    </row>
    <row r="307" spans="14:14">
      <c r="N307" s="62"/>
    </row>
    <row r="308" spans="14:14">
      <c r="N308" s="62"/>
    </row>
    <row r="309" spans="14:14">
      <c r="N309" s="62"/>
    </row>
    <row r="310" spans="14:14">
      <c r="N310" s="62"/>
    </row>
    <row r="311" spans="14:14">
      <c r="N311" s="62"/>
    </row>
    <row r="312" spans="14:14">
      <c r="N312" s="62"/>
    </row>
    <row r="313" spans="14:14">
      <c r="N313" s="62"/>
    </row>
    <row r="314" spans="14:14">
      <c r="N314" s="62"/>
    </row>
    <row r="315" spans="14:14">
      <c r="N315" s="62"/>
    </row>
    <row r="316" spans="14:14">
      <c r="N316" s="62"/>
    </row>
    <row r="317" spans="14:14">
      <c r="N317" s="62"/>
    </row>
    <row r="318" spans="14:14">
      <c r="N318" s="62"/>
    </row>
    <row r="319" spans="14:14">
      <c r="N319" s="62"/>
    </row>
    <row r="320" spans="14:14">
      <c r="N320" s="62"/>
    </row>
    <row r="321" spans="14:14">
      <c r="N321" s="62"/>
    </row>
    <row r="322" spans="14:14">
      <c r="N322" s="62"/>
    </row>
    <row r="323" spans="14:14">
      <c r="N323" s="62"/>
    </row>
    <row r="324" spans="14:14">
      <c r="N324" s="62"/>
    </row>
    <row r="325" spans="14:14">
      <c r="N325" s="62"/>
    </row>
    <row r="326" spans="14:14">
      <c r="N326" s="62"/>
    </row>
    <row r="327" spans="14:14">
      <c r="N327" s="62"/>
    </row>
    <row r="328" spans="14:14">
      <c r="N328" s="62"/>
    </row>
    <row r="329" spans="14:14">
      <c r="N329" s="62"/>
    </row>
    <row r="330" spans="14:14">
      <c r="N330" s="62"/>
    </row>
    <row r="331" spans="14:14">
      <c r="N331" s="62"/>
    </row>
    <row r="332" spans="14:14">
      <c r="N332" s="62"/>
    </row>
    <row r="333" spans="14:14">
      <c r="N333" s="62"/>
    </row>
    <row r="334" spans="14:14">
      <c r="N334" s="62"/>
    </row>
    <row r="335" spans="14:14">
      <c r="N335" s="62"/>
    </row>
    <row r="336" spans="14:14">
      <c r="N336" s="62"/>
    </row>
    <row r="337" spans="14:14">
      <c r="N337" s="62"/>
    </row>
    <row r="338" spans="14:14">
      <c r="N338" s="62"/>
    </row>
    <row r="339" spans="14:14">
      <c r="N339" s="62"/>
    </row>
    <row r="340" spans="14:14">
      <c r="N340" s="62"/>
    </row>
    <row r="341" spans="14:14">
      <c r="N341" s="62"/>
    </row>
    <row r="342" spans="14:14">
      <c r="N342" s="62"/>
    </row>
    <row r="343" spans="14:14">
      <c r="N343" s="62"/>
    </row>
    <row r="344" spans="14:14">
      <c r="N344" s="62"/>
    </row>
    <row r="345" spans="14:14">
      <c r="N345" s="62"/>
    </row>
    <row r="346" spans="14:14">
      <c r="N346" s="62"/>
    </row>
    <row r="347" spans="14:14">
      <c r="N347" s="62"/>
    </row>
    <row r="348" spans="14:14">
      <c r="N348" s="62"/>
    </row>
    <row r="349" spans="14:14">
      <c r="N349" s="62"/>
    </row>
    <row r="350" spans="14:14">
      <c r="N350" s="62"/>
    </row>
    <row r="351" spans="14:14">
      <c r="N351" s="62"/>
    </row>
    <row r="352" spans="14:14">
      <c r="N352" s="62"/>
    </row>
    <row r="353" spans="14:14">
      <c r="N353" s="62"/>
    </row>
    <row r="354" spans="14:14">
      <c r="N354" s="62"/>
    </row>
    <row r="355" spans="14:14">
      <c r="N355" s="62"/>
    </row>
    <row r="356" spans="14:14">
      <c r="N356" s="62"/>
    </row>
    <row r="357" spans="14:14">
      <c r="N357" s="62"/>
    </row>
    <row r="358" spans="14:14">
      <c r="N358" s="62"/>
    </row>
    <row r="359" spans="14:14">
      <c r="N359" s="62"/>
    </row>
    <row r="360" spans="14:14">
      <c r="N360" s="62"/>
    </row>
    <row r="361" spans="14:14">
      <c r="N361" s="62"/>
    </row>
    <row r="362" spans="14:14">
      <c r="N362" s="62"/>
    </row>
    <row r="363" spans="14:14">
      <c r="N363" s="62"/>
    </row>
    <row r="364" spans="14:14">
      <c r="N364" s="62"/>
    </row>
    <row r="365" spans="14:14">
      <c r="N365" s="62"/>
    </row>
    <row r="366" spans="14:14">
      <c r="N366" s="62"/>
    </row>
    <row r="367" spans="14:14">
      <c r="N367" s="62"/>
    </row>
    <row r="368" spans="14:14">
      <c r="N368" s="62"/>
    </row>
    <row r="369" spans="14:14">
      <c r="N369" s="62"/>
    </row>
    <row r="370" spans="14:14">
      <c r="N370" s="62"/>
    </row>
    <row r="371" spans="14:14">
      <c r="N371" s="62"/>
    </row>
    <row r="372" spans="14:14">
      <c r="N372" s="62"/>
    </row>
    <row r="373" spans="14:14">
      <c r="N373" s="62"/>
    </row>
    <row r="374" spans="14:14">
      <c r="N374" s="62"/>
    </row>
    <row r="375" spans="14:14">
      <c r="N375" s="62"/>
    </row>
    <row r="376" spans="14:14">
      <c r="N376" s="62"/>
    </row>
    <row r="377" spans="14:14">
      <c r="N377" s="62"/>
    </row>
    <row r="378" spans="14:14">
      <c r="N378" s="62"/>
    </row>
    <row r="379" spans="14:14">
      <c r="N379" s="62"/>
    </row>
    <row r="380" spans="14:14">
      <c r="N380" s="62"/>
    </row>
    <row r="381" spans="14:14">
      <c r="N381" s="62"/>
    </row>
    <row r="382" spans="14:14">
      <c r="N382" s="62"/>
    </row>
    <row r="383" spans="14:14">
      <c r="N383" s="62"/>
    </row>
    <row r="384" spans="14:14">
      <c r="N384" s="62"/>
    </row>
    <row r="385" spans="14:14">
      <c r="N385" s="62"/>
    </row>
    <row r="386" spans="14:14">
      <c r="N386" s="62"/>
    </row>
    <row r="387" spans="14:14">
      <c r="N387" s="62"/>
    </row>
    <row r="388" spans="14:14">
      <c r="N388" s="62"/>
    </row>
    <row r="389" spans="14:14">
      <c r="N389" s="62"/>
    </row>
    <row r="390" spans="14:14">
      <c r="N390" s="62"/>
    </row>
    <row r="391" spans="14:14">
      <c r="N391" s="62"/>
    </row>
    <row r="392" spans="14:14">
      <c r="N392" s="62"/>
    </row>
    <row r="393" spans="14:14">
      <c r="N393" s="62"/>
    </row>
    <row r="394" spans="14:14">
      <c r="N394" s="62"/>
    </row>
    <row r="395" spans="14:14">
      <c r="N395" s="62"/>
    </row>
    <row r="396" spans="14:14">
      <c r="N396" s="62"/>
    </row>
    <row r="397" spans="14:14">
      <c r="N397" s="62"/>
    </row>
    <row r="398" spans="14:14">
      <c r="N398" s="62"/>
    </row>
    <row r="399" spans="14:14">
      <c r="N399" s="62"/>
    </row>
    <row r="400" spans="14:14">
      <c r="N400" s="62"/>
    </row>
    <row r="401" spans="14:14">
      <c r="N401" s="62"/>
    </row>
    <row r="402" spans="14:14">
      <c r="N402" s="62"/>
    </row>
    <row r="403" spans="14:14">
      <c r="N403" s="62"/>
    </row>
    <row r="404" spans="14:14">
      <c r="N404" s="62"/>
    </row>
    <row r="405" spans="14:14">
      <c r="N405" s="62"/>
    </row>
    <row r="406" spans="14:14">
      <c r="N406" s="62"/>
    </row>
    <row r="407" spans="14:14">
      <c r="N407" s="62"/>
    </row>
    <row r="408" spans="14:14">
      <c r="N408" s="62"/>
    </row>
    <row r="409" spans="14:14">
      <c r="N409" s="62"/>
    </row>
    <row r="410" spans="14:14">
      <c r="N410" s="62"/>
    </row>
    <row r="411" spans="14:14">
      <c r="N411" s="62"/>
    </row>
    <row r="412" spans="14:14">
      <c r="N412" s="62"/>
    </row>
    <row r="413" spans="14:14">
      <c r="N413" s="62"/>
    </row>
    <row r="414" spans="14:14">
      <c r="N414" s="62"/>
    </row>
    <row r="415" spans="14:14">
      <c r="N415" s="62"/>
    </row>
    <row r="416" spans="14:14">
      <c r="N416" s="62"/>
    </row>
    <row r="417" spans="14:14">
      <c r="N417" s="62"/>
    </row>
    <row r="418" spans="14:14">
      <c r="N418" s="62"/>
    </row>
    <row r="419" spans="14:14">
      <c r="N419" s="62"/>
    </row>
    <row r="420" spans="14:14">
      <c r="N420" s="62"/>
    </row>
    <row r="421" spans="14:14">
      <c r="N421" s="62"/>
    </row>
    <row r="422" spans="14:14">
      <c r="N422" s="62"/>
    </row>
    <row r="423" spans="14:14">
      <c r="N423" s="62"/>
    </row>
    <row r="424" spans="14:14">
      <c r="N424" s="62"/>
    </row>
    <row r="425" spans="14:14">
      <c r="N425" s="62"/>
    </row>
    <row r="426" spans="14:14">
      <c r="N426" s="62"/>
    </row>
    <row r="427" spans="14:14">
      <c r="N427" s="62"/>
    </row>
    <row r="428" spans="14:14">
      <c r="N428" s="62"/>
    </row>
    <row r="429" spans="14:14">
      <c r="N429" s="62"/>
    </row>
    <row r="430" spans="14:14">
      <c r="N430" s="62"/>
    </row>
    <row r="431" spans="14:14">
      <c r="N431" s="62"/>
    </row>
    <row r="432" spans="14:14">
      <c r="N432" s="62"/>
    </row>
    <row r="433" spans="14:14">
      <c r="N433" s="62"/>
    </row>
    <row r="434" spans="14:14">
      <c r="N434" s="62"/>
    </row>
    <row r="435" spans="14:14">
      <c r="N435" s="62"/>
    </row>
    <row r="436" spans="14:14">
      <c r="N436" s="62"/>
    </row>
    <row r="437" spans="14:14">
      <c r="N437" s="62"/>
    </row>
    <row r="438" spans="14:14">
      <c r="N438" s="62"/>
    </row>
    <row r="439" spans="14:14">
      <c r="N439" s="62"/>
    </row>
    <row r="440" spans="14:14">
      <c r="N440" s="62"/>
    </row>
    <row r="441" spans="14:14">
      <c r="N441" s="62"/>
    </row>
    <row r="442" spans="14:14">
      <c r="N442" s="62"/>
    </row>
    <row r="443" spans="14:14">
      <c r="N443" s="62"/>
    </row>
    <row r="444" spans="14:14">
      <c r="N444" s="62"/>
    </row>
    <row r="445" spans="14:14">
      <c r="N445" s="62"/>
    </row>
    <row r="446" spans="14:14">
      <c r="N446" s="62"/>
    </row>
    <row r="447" spans="14:14">
      <c r="N447" s="62"/>
    </row>
    <row r="448" spans="14:14">
      <c r="N448" s="62"/>
    </row>
    <row r="449" spans="14:14">
      <c r="N449" s="62"/>
    </row>
    <row r="450" spans="14:14">
      <c r="N450" s="62"/>
    </row>
    <row r="451" spans="14:14">
      <c r="N451" s="62"/>
    </row>
    <row r="452" spans="14:14">
      <c r="N452" s="62"/>
    </row>
    <row r="453" spans="14:14">
      <c r="N453" s="62"/>
    </row>
    <row r="454" spans="14:14">
      <c r="N454" s="62"/>
    </row>
    <row r="455" spans="14:14">
      <c r="N455" s="62"/>
    </row>
    <row r="456" spans="14:14">
      <c r="N456" s="62"/>
    </row>
    <row r="457" spans="14:14">
      <c r="N457" s="62"/>
    </row>
    <row r="458" spans="14:14">
      <c r="N458" s="62"/>
    </row>
    <row r="459" spans="14:14">
      <c r="N459" s="62"/>
    </row>
    <row r="460" spans="14:14">
      <c r="N460" s="62"/>
    </row>
    <row r="461" spans="14:14">
      <c r="N461" s="62"/>
    </row>
    <row r="462" spans="14:14">
      <c r="N462" s="62"/>
    </row>
    <row r="463" spans="14:14">
      <c r="N463" s="62"/>
    </row>
    <row r="464" spans="14:14">
      <c r="N464" s="62"/>
    </row>
    <row r="465" spans="14:14">
      <c r="N465" s="62"/>
    </row>
    <row r="466" spans="14:14">
      <c r="N466" s="62"/>
    </row>
    <row r="467" spans="14:14">
      <c r="N467" s="62"/>
    </row>
    <row r="468" spans="14:14">
      <c r="N468" s="62"/>
    </row>
    <row r="469" spans="14:14">
      <c r="N469" s="62"/>
    </row>
    <row r="470" spans="14:14">
      <c r="N470" s="62"/>
    </row>
    <row r="471" spans="14:14">
      <c r="N471" s="62"/>
    </row>
    <row r="472" spans="14:14">
      <c r="N472" s="62"/>
    </row>
    <row r="473" spans="14:14">
      <c r="N473" s="62"/>
    </row>
    <row r="474" spans="14:14">
      <c r="N474" s="62"/>
    </row>
    <row r="475" spans="14:14">
      <c r="N475" s="62"/>
    </row>
    <row r="476" spans="14:14">
      <c r="N476" s="62"/>
    </row>
    <row r="477" spans="14:14">
      <c r="N477" s="62"/>
    </row>
    <row r="478" spans="14:14">
      <c r="N478" s="62"/>
    </row>
    <row r="479" spans="14:14">
      <c r="N479" s="62"/>
    </row>
    <row r="480" spans="14:14">
      <c r="N480" s="62"/>
    </row>
    <row r="481" spans="14:14">
      <c r="N481" s="62"/>
    </row>
    <row r="482" spans="14:14">
      <c r="N482" s="62"/>
    </row>
    <row r="483" spans="14:14">
      <c r="N483" s="62"/>
    </row>
    <row r="484" spans="14:14">
      <c r="N484" s="62"/>
    </row>
    <row r="485" spans="14:14">
      <c r="N485" s="62"/>
    </row>
    <row r="486" spans="14:14">
      <c r="N486" s="62"/>
    </row>
    <row r="487" spans="14:14">
      <c r="N487" s="62"/>
    </row>
    <row r="488" spans="14:14">
      <c r="N488" s="62"/>
    </row>
    <row r="489" spans="14:14">
      <c r="N489" s="62"/>
    </row>
    <row r="490" spans="14:14">
      <c r="N490" s="62"/>
    </row>
    <row r="491" spans="14:14">
      <c r="N491" s="62"/>
    </row>
    <row r="492" spans="14:14">
      <c r="N492" s="62"/>
    </row>
    <row r="493" spans="14:14">
      <c r="N493" s="62"/>
    </row>
    <row r="494" spans="14:14">
      <c r="N494" s="62"/>
    </row>
    <row r="495" spans="14:14">
      <c r="N495" s="62"/>
    </row>
    <row r="496" spans="14:14">
      <c r="N496" s="62"/>
    </row>
    <row r="497" spans="14:14">
      <c r="N497" s="62"/>
    </row>
    <row r="498" spans="14:14">
      <c r="N498" s="62"/>
    </row>
    <row r="499" spans="14:14">
      <c r="N499" s="62"/>
    </row>
    <row r="500" spans="14:14">
      <c r="N500" s="62"/>
    </row>
    <row r="501" spans="14:14">
      <c r="N501" s="62"/>
    </row>
    <row r="502" spans="14:14">
      <c r="N502" s="62"/>
    </row>
    <row r="503" spans="14:14">
      <c r="N503" s="62"/>
    </row>
    <row r="504" spans="14:14">
      <c r="N504" s="62"/>
    </row>
    <row r="505" spans="14:14">
      <c r="N505" s="62"/>
    </row>
    <row r="506" spans="14:14">
      <c r="N506" s="62"/>
    </row>
    <row r="507" spans="14:14">
      <c r="N507" s="62"/>
    </row>
    <row r="508" spans="14:14">
      <c r="N508" s="62"/>
    </row>
    <row r="509" spans="14:14">
      <c r="N509" s="62"/>
    </row>
    <row r="510" spans="14:14">
      <c r="N510" s="62"/>
    </row>
    <row r="511" spans="14:14">
      <c r="N511" s="62"/>
    </row>
    <row r="512" spans="14:14">
      <c r="N512" s="62"/>
    </row>
    <row r="513" spans="14:14">
      <c r="N513" s="62"/>
    </row>
    <row r="514" spans="14:14">
      <c r="N514" s="62"/>
    </row>
    <row r="515" spans="14:14">
      <c r="N515" s="62"/>
    </row>
    <row r="516" spans="14:14">
      <c r="N516" s="62"/>
    </row>
    <row r="517" spans="14:14">
      <c r="N517" s="62"/>
    </row>
    <row r="518" spans="14:14">
      <c r="N518" s="62"/>
    </row>
    <row r="519" spans="14:14">
      <c r="N519" s="62"/>
    </row>
    <row r="520" spans="14:14">
      <c r="N520" s="62"/>
    </row>
    <row r="521" spans="14:14">
      <c r="N521" s="62"/>
    </row>
    <row r="522" spans="14:14">
      <c r="N522" s="62"/>
    </row>
    <row r="523" spans="14:14">
      <c r="N523" s="62"/>
    </row>
    <row r="524" spans="14:14">
      <c r="N524" s="62"/>
    </row>
    <row r="525" spans="14:14">
      <c r="N525" s="62"/>
    </row>
    <row r="526" spans="14:14">
      <c r="N526" s="62"/>
    </row>
    <row r="527" spans="14:14">
      <c r="N527" s="62"/>
    </row>
    <row r="528" spans="14:14">
      <c r="N528" s="62"/>
    </row>
    <row r="529" spans="14:14">
      <c r="N529" s="62"/>
    </row>
    <row r="530" spans="14:14">
      <c r="N530" s="62"/>
    </row>
    <row r="531" spans="14:14">
      <c r="N531" s="62"/>
    </row>
    <row r="532" spans="14:14">
      <c r="N532" s="62"/>
    </row>
    <row r="533" spans="14:14">
      <c r="N533" s="62"/>
    </row>
    <row r="534" spans="14:14">
      <c r="N534" s="62"/>
    </row>
    <row r="535" spans="14:14">
      <c r="N535" s="62"/>
    </row>
    <row r="536" spans="14:14">
      <c r="N536" s="62"/>
    </row>
    <row r="537" spans="14:14">
      <c r="N537" s="62"/>
    </row>
    <row r="538" spans="14:14">
      <c r="N538" s="62"/>
    </row>
    <row r="539" spans="14:14">
      <c r="N539" s="62"/>
    </row>
    <row r="540" spans="14:14">
      <c r="N540" s="62"/>
    </row>
    <row r="541" spans="14:14">
      <c r="N541" s="62"/>
    </row>
    <row r="542" spans="14:14">
      <c r="N542" s="62"/>
    </row>
    <row r="543" spans="14:14">
      <c r="N543" s="62"/>
    </row>
    <row r="544" spans="14:14">
      <c r="N544" s="62"/>
    </row>
    <row r="545" spans="14:14">
      <c r="N545" s="62"/>
    </row>
    <row r="546" spans="14:14">
      <c r="N546" s="62"/>
    </row>
    <row r="547" spans="14:14">
      <c r="N547" s="62"/>
    </row>
    <row r="548" spans="14:14">
      <c r="N548" s="62"/>
    </row>
    <row r="549" spans="14:14">
      <c r="N549" s="62"/>
    </row>
    <row r="550" spans="14:14">
      <c r="N550" s="62"/>
    </row>
    <row r="551" spans="14:14">
      <c r="N551" s="62"/>
    </row>
    <row r="552" spans="14:14">
      <c r="N552" s="62"/>
    </row>
    <row r="553" spans="14:14">
      <c r="N553" s="62"/>
    </row>
    <row r="554" spans="14:14">
      <c r="N554" s="62"/>
    </row>
    <row r="555" spans="14:14">
      <c r="N555" s="62"/>
    </row>
    <row r="556" spans="14:14">
      <c r="N556" s="62"/>
    </row>
    <row r="557" spans="14:14">
      <c r="N557" s="62"/>
    </row>
    <row r="558" spans="14:14">
      <c r="N558" s="62"/>
    </row>
    <row r="559" spans="14:14">
      <c r="N559" s="62"/>
    </row>
    <row r="560" spans="14:14">
      <c r="N560" s="62"/>
    </row>
    <row r="561" spans="14:14">
      <c r="N561" s="62"/>
    </row>
    <row r="562" spans="14:14">
      <c r="N562" s="62"/>
    </row>
    <row r="563" spans="14:14">
      <c r="N563" s="62"/>
    </row>
    <row r="564" spans="14:14">
      <c r="N564" s="62"/>
    </row>
    <row r="565" spans="14:14">
      <c r="N565" s="62"/>
    </row>
    <row r="566" spans="14:14">
      <c r="N566" s="62"/>
    </row>
    <row r="567" spans="14:14">
      <c r="N567" s="62"/>
    </row>
    <row r="568" spans="14:14">
      <c r="N568" s="62"/>
    </row>
    <row r="569" spans="14:14">
      <c r="N569" s="62"/>
    </row>
    <row r="570" spans="14:14">
      <c r="N570" s="62"/>
    </row>
    <row r="571" spans="14:14">
      <c r="N571" s="62"/>
    </row>
    <row r="572" spans="14:14">
      <c r="N572" s="62"/>
    </row>
    <row r="573" spans="14:14">
      <c r="N573" s="62"/>
    </row>
    <row r="574" spans="14:14">
      <c r="N574" s="62"/>
    </row>
    <row r="575" spans="14:14">
      <c r="N575" s="62"/>
    </row>
    <row r="576" spans="14:14">
      <c r="N576" s="62"/>
    </row>
    <row r="577" spans="14:14">
      <c r="N577" s="62"/>
    </row>
    <row r="578" spans="14:14">
      <c r="N578" s="62"/>
    </row>
    <row r="579" spans="14:14">
      <c r="N579" s="62"/>
    </row>
    <row r="580" spans="14:14">
      <c r="N580" s="62"/>
    </row>
    <row r="581" spans="14:14">
      <c r="N581" s="62"/>
    </row>
    <row r="582" spans="14:14">
      <c r="N582" s="62"/>
    </row>
    <row r="583" spans="14:14">
      <c r="N583" s="62"/>
    </row>
    <row r="584" spans="14:14">
      <c r="N584" s="62"/>
    </row>
    <row r="585" spans="14:14">
      <c r="N585" s="62"/>
    </row>
    <row r="586" spans="14:14">
      <c r="N586" s="62"/>
    </row>
    <row r="587" spans="14:14">
      <c r="N587" s="62"/>
    </row>
    <row r="588" spans="14:14">
      <c r="N588" s="62"/>
    </row>
    <row r="589" spans="14:14">
      <c r="N589" s="62"/>
    </row>
    <row r="590" spans="14:14">
      <c r="N590" s="62"/>
    </row>
    <row r="591" spans="14:14">
      <c r="N591" s="62"/>
    </row>
    <row r="592" spans="14:14">
      <c r="N592" s="62"/>
    </row>
    <row r="593" spans="14:14">
      <c r="N593" s="62"/>
    </row>
    <row r="594" spans="14:14">
      <c r="N594" s="62"/>
    </row>
    <row r="595" spans="14:14">
      <c r="N595" s="62"/>
    </row>
    <row r="596" spans="14:14">
      <c r="N596" s="62"/>
    </row>
    <row r="597" spans="14:14">
      <c r="N597" s="62"/>
    </row>
    <row r="598" spans="14:14">
      <c r="N598" s="62"/>
    </row>
    <row r="599" spans="14:14">
      <c r="N599" s="62"/>
    </row>
    <row r="600" spans="14:14">
      <c r="N600" s="62"/>
    </row>
    <row r="601" spans="14:14">
      <c r="N601" s="62"/>
    </row>
    <row r="602" spans="14:14">
      <c r="N602" s="62"/>
    </row>
    <row r="603" spans="14:14">
      <c r="N603" s="62"/>
    </row>
    <row r="604" spans="14:14">
      <c r="N604" s="62"/>
    </row>
    <row r="605" spans="14:14">
      <c r="N605" s="62"/>
    </row>
    <row r="606" spans="14:14">
      <c r="N606" s="62"/>
    </row>
    <row r="607" spans="14:14">
      <c r="N607" s="62"/>
    </row>
    <row r="608" spans="14:14">
      <c r="N608" s="62"/>
    </row>
    <row r="609" spans="14:14">
      <c r="N609" s="62"/>
    </row>
    <row r="610" spans="14:14">
      <c r="N610" s="62"/>
    </row>
    <row r="611" spans="14:14">
      <c r="N611" s="62"/>
    </row>
    <row r="612" spans="14:14">
      <c r="N612" s="62"/>
    </row>
    <row r="613" spans="14:14">
      <c r="N613" s="62"/>
    </row>
    <row r="614" spans="14:14">
      <c r="N614" s="62"/>
    </row>
    <row r="615" spans="14:14">
      <c r="N615" s="62"/>
    </row>
    <row r="616" spans="14:14">
      <c r="N616" s="62"/>
    </row>
    <row r="617" spans="14:14">
      <c r="N617" s="62"/>
    </row>
    <row r="618" spans="14:14">
      <c r="N618" s="62"/>
    </row>
    <row r="619" spans="14:14">
      <c r="N619" s="62"/>
    </row>
    <row r="620" spans="14:14">
      <c r="N620" s="62"/>
    </row>
    <row r="621" spans="14:14">
      <c r="N621" s="62"/>
    </row>
    <row r="622" spans="14:14">
      <c r="N622" s="62"/>
    </row>
    <row r="623" spans="14:14">
      <c r="N623" s="62"/>
    </row>
    <row r="624" spans="14:14">
      <c r="N624" s="62"/>
    </row>
    <row r="625" spans="14:14">
      <c r="N625" s="62"/>
    </row>
    <row r="626" spans="14:14">
      <c r="N626" s="62"/>
    </row>
    <row r="627" spans="14:14">
      <c r="N627" s="62"/>
    </row>
    <row r="628" spans="14:14">
      <c r="N628" s="62"/>
    </row>
    <row r="629" spans="14:14">
      <c r="N629" s="62"/>
    </row>
    <row r="630" spans="14:14">
      <c r="N630" s="62"/>
    </row>
    <row r="631" spans="14:14">
      <c r="N631" s="62"/>
    </row>
    <row r="632" spans="14:14">
      <c r="N632" s="62"/>
    </row>
    <row r="633" spans="14:14">
      <c r="N633" s="62"/>
    </row>
    <row r="634" spans="14:14">
      <c r="N634" s="62"/>
    </row>
    <row r="635" spans="14:14">
      <c r="N635" s="62"/>
    </row>
    <row r="636" spans="14:14">
      <c r="N636" s="62"/>
    </row>
    <row r="637" spans="14:14">
      <c r="N637" s="62"/>
    </row>
    <row r="638" spans="14:14">
      <c r="N638" s="62"/>
    </row>
    <row r="639" spans="14:14">
      <c r="N639" s="62"/>
    </row>
    <row r="640" spans="14:14">
      <c r="N640" s="62"/>
    </row>
    <row r="641" spans="14:14">
      <c r="N641" s="62"/>
    </row>
    <row r="642" spans="14:14">
      <c r="N642" s="62"/>
    </row>
    <row r="643" spans="14:14">
      <c r="N643" s="62"/>
    </row>
    <row r="644" spans="14:14">
      <c r="N644" s="62"/>
    </row>
    <row r="645" spans="14:14">
      <c r="N645" s="62"/>
    </row>
    <row r="646" spans="14:14">
      <c r="N646" s="62"/>
    </row>
    <row r="647" spans="14:14">
      <c r="N647" s="62"/>
    </row>
    <row r="648" spans="14:14">
      <c r="N648" s="62"/>
    </row>
    <row r="649" spans="14:14">
      <c r="N649" s="62"/>
    </row>
    <row r="650" spans="14:14">
      <c r="N650" s="62"/>
    </row>
    <row r="651" spans="14:14">
      <c r="N651" s="62"/>
    </row>
    <row r="652" spans="14:14">
      <c r="N652" s="62"/>
    </row>
    <row r="653" spans="14:14">
      <c r="N653" s="62"/>
    </row>
    <row r="654" spans="14:14">
      <c r="N654" s="62"/>
    </row>
    <row r="655" spans="14:14">
      <c r="N655" s="62"/>
    </row>
    <row r="656" spans="14:14">
      <c r="N656" s="62"/>
    </row>
    <row r="657" spans="14:14">
      <c r="N657" s="62"/>
    </row>
    <row r="658" spans="14:14">
      <c r="N658" s="62"/>
    </row>
    <row r="659" spans="14:14">
      <c r="N659" s="62"/>
    </row>
    <row r="660" spans="14:14">
      <c r="N660" s="62"/>
    </row>
    <row r="661" spans="14:14">
      <c r="N661" s="62"/>
    </row>
    <row r="662" spans="14:14">
      <c r="N662" s="62"/>
    </row>
    <row r="663" spans="14:14">
      <c r="N663" s="62"/>
    </row>
    <row r="664" spans="14:14">
      <c r="N664" s="62"/>
    </row>
    <row r="665" spans="14:14">
      <c r="N665" s="62"/>
    </row>
    <row r="666" spans="14:14">
      <c r="N666" s="62"/>
    </row>
    <row r="667" spans="14:14">
      <c r="N667" s="62"/>
    </row>
    <row r="668" spans="14:14">
      <c r="N668" s="62"/>
    </row>
    <row r="669" spans="14:14">
      <c r="N669" s="62"/>
    </row>
    <row r="670" spans="14:14">
      <c r="N670" s="62"/>
    </row>
    <row r="671" spans="14:14">
      <c r="N671" s="62"/>
    </row>
    <row r="672" spans="14:14">
      <c r="N672" s="62"/>
    </row>
    <row r="673" spans="14:14">
      <c r="N673" s="62"/>
    </row>
    <row r="674" spans="14:14">
      <c r="N674" s="62"/>
    </row>
    <row r="675" spans="14:14">
      <c r="N675" s="62"/>
    </row>
    <row r="676" spans="14:14">
      <c r="N676" s="62"/>
    </row>
    <row r="677" spans="14:14">
      <c r="N677" s="62"/>
    </row>
    <row r="678" spans="14:14">
      <c r="N678" s="62"/>
    </row>
    <row r="679" spans="14:14">
      <c r="N679" s="62"/>
    </row>
    <row r="680" spans="14:14">
      <c r="N680" s="62"/>
    </row>
    <row r="681" spans="14:14">
      <c r="N681" s="62"/>
    </row>
    <row r="682" spans="14:14">
      <c r="N682" s="62"/>
    </row>
    <row r="683" spans="14:14">
      <c r="N683" s="62"/>
    </row>
    <row r="684" spans="14:14">
      <c r="N684" s="62"/>
    </row>
    <row r="685" spans="14:14">
      <c r="N685" s="62"/>
    </row>
    <row r="686" spans="14:14">
      <c r="N686" s="62"/>
    </row>
    <row r="687" spans="14:14">
      <c r="N687" s="62"/>
    </row>
    <row r="688" spans="14:14">
      <c r="N688" s="62"/>
    </row>
    <row r="689" spans="14:14">
      <c r="N689" s="62"/>
    </row>
    <row r="690" spans="14:14">
      <c r="N690" s="62"/>
    </row>
    <row r="691" spans="14:14">
      <c r="N691" s="62"/>
    </row>
    <row r="692" spans="14:14">
      <c r="N692" s="62"/>
    </row>
    <row r="693" spans="14:14">
      <c r="N693" s="62"/>
    </row>
    <row r="694" spans="14:14">
      <c r="N694" s="62"/>
    </row>
    <row r="695" spans="14:14">
      <c r="N695" s="62"/>
    </row>
    <row r="696" spans="14:14">
      <c r="N696" s="62"/>
    </row>
    <row r="697" spans="14:14">
      <c r="N697" s="62"/>
    </row>
    <row r="698" spans="14:14">
      <c r="N698" s="62"/>
    </row>
    <row r="699" spans="14:14">
      <c r="N699" s="62"/>
    </row>
    <row r="700" spans="14:14">
      <c r="N700" s="62"/>
    </row>
    <row r="701" spans="14:14">
      <c r="N701" s="62"/>
    </row>
    <row r="702" spans="14:14">
      <c r="N702" s="62"/>
    </row>
    <row r="703" spans="14:14">
      <c r="N703" s="62"/>
    </row>
    <row r="704" spans="14:14">
      <c r="N704" s="62"/>
    </row>
    <row r="705" spans="14:14">
      <c r="N705" s="62"/>
    </row>
    <row r="706" spans="14:14">
      <c r="N706" s="62"/>
    </row>
    <row r="707" spans="14:14">
      <c r="N707" s="62"/>
    </row>
    <row r="708" spans="14:14">
      <c r="N708" s="62"/>
    </row>
    <row r="709" spans="14:14">
      <c r="N709" s="62"/>
    </row>
    <row r="710" spans="14:14">
      <c r="N710" s="62"/>
    </row>
    <row r="711" spans="14:14">
      <c r="N711" s="62"/>
    </row>
    <row r="712" spans="14:14">
      <c r="N712" s="62"/>
    </row>
    <row r="713" spans="14:14">
      <c r="N713" s="62"/>
    </row>
    <row r="714" spans="14:14">
      <c r="N714" s="62"/>
    </row>
    <row r="715" spans="14:14">
      <c r="N715" s="62"/>
    </row>
    <row r="716" spans="14:14">
      <c r="N716" s="62"/>
    </row>
    <row r="717" spans="14:14">
      <c r="N717" s="62"/>
    </row>
    <row r="718" spans="14:14">
      <c r="N718" s="62"/>
    </row>
    <row r="719" spans="14:14">
      <c r="N719" s="62"/>
    </row>
    <row r="720" spans="14:14">
      <c r="N720" s="62"/>
    </row>
    <row r="721" spans="14:14">
      <c r="N721" s="62"/>
    </row>
    <row r="722" spans="14:14">
      <c r="N722" s="62"/>
    </row>
    <row r="723" spans="14:14">
      <c r="N723" s="62"/>
    </row>
    <row r="724" spans="14:14">
      <c r="N724" s="62"/>
    </row>
    <row r="725" spans="14:14">
      <c r="N725" s="62"/>
    </row>
    <row r="726" spans="14:14">
      <c r="N726" s="62"/>
    </row>
    <row r="727" spans="14:14">
      <c r="N727" s="62"/>
    </row>
    <row r="728" spans="14:14">
      <c r="N728" s="62"/>
    </row>
    <row r="729" spans="14:14">
      <c r="N729" s="62"/>
    </row>
    <row r="730" spans="14:14">
      <c r="N730" s="62"/>
    </row>
    <row r="731" spans="14:14">
      <c r="N731" s="62"/>
    </row>
    <row r="732" spans="14:14">
      <c r="N732" s="62"/>
    </row>
    <row r="733" spans="14:14">
      <c r="N733" s="62"/>
    </row>
    <row r="734" spans="14:14">
      <c r="N734" s="62"/>
    </row>
    <row r="735" spans="14:14">
      <c r="N735" s="62"/>
    </row>
    <row r="736" spans="14:14">
      <c r="N736" s="62"/>
    </row>
    <row r="737" spans="14:14">
      <c r="N737" s="62"/>
    </row>
    <row r="738" spans="14:14">
      <c r="N738" s="62"/>
    </row>
    <row r="739" spans="14:14">
      <c r="N739" s="62"/>
    </row>
    <row r="740" spans="14:14">
      <c r="N740" s="62"/>
    </row>
    <row r="741" spans="14:14">
      <c r="N741" s="62"/>
    </row>
    <row r="742" spans="14:14">
      <c r="N742" s="62"/>
    </row>
    <row r="743" spans="14:14">
      <c r="N743" s="62"/>
    </row>
    <row r="744" spans="14:14">
      <c r="N744" s="62"/>
    </row>
    <row r="745" spans="14:14">
      <c r="N745" s="62"/>
    </row>
    <row r="746" spans="14:14">
      <c r="N746" s="62"/>
    </row>
    <row r="747" spans="14:14">
      <c r="N747" s="62"/>
    </row>
    <row r="748" spans="14:14">
      <c r="N748" s="62"/>
    </row>
    <row r="749" spans="14:14">
      <c r="N749" s="62"/>
    </row>
    <row r="750" spans="14:14">
      <c r="N750" s="62"/>
    </row>
    <row r="751" spans="14:14">
      <c r="N751" s="62"/>
    </row>
    <row r="752" spans="14:14">
      <c r="N752" s="62"/>
    </row>
    <row r="753" spans="14:14">
      <c r="N753" s="62"/>
    </row>
    <row r="754" spans="14:14">
      <c r="N754" s="62"/>
    </row>
    <row r="755" spans="14:14">
      <c r="N755" s="62"/>
    </row>
    <row r="756" spans="14:14">
      <c r="N756" s="62"/>
    </row>
    <row r="757" spans="14:14">
      <c r="N757" s="62"/>
    </row>
    <row r="758" spans="14:14">
      <c r="N758" s="62"/>
    </row>
    <row r="759" spans="14:14">
      <c r="N759" s="62"/>
    </row>
    <row r="760" spans="14:14">
      <c r="N760" s="62"/>
    </row>
    <row r="761" spans="14:14">
      <c r="N761" s="62"/>
    </row>
    <row r="762" spans="14:14">
      <c r="N762" s="62"/>
    </row>
    <row r="763" spans="14:14">
      <c r="N763" s="62"/>
    </row>
    <row r="764" spans="14:14">
      <c r="N764" s="62"/>
    </row>
    <row r="765" spans="14:14">
      <c r="N765" s="62"/>
    </row>
    <row r="766" spans="14:14">
      <c r="N766" s="62"/>
    </row>
    <row r="767" spans="14:14">
      <c r="N767" s="62"/>
    </row>
    <row r="768" spans="14:14">
      <c r="N768" s="62"/>
    </row>
    <row r="769" spans="14:14">
      <c r="N769" s="62"/>
    </row>
    <row r="770" spans="14:14">
      <c r="N770" s="62"/>
    </row>
    <row r="771" spans="14:14">
      <c r="N771" s="62"/>
    </row>
    <row r="772" spans="14:14">
      <c r="N772" s="62"/>
    </row>
    <row r="773" spans="14:14">
      <c r="N773" s="62"/>
    </row>
    <row r="774" spans="14:14">
      <c r="N774" s="62"/>
    </row>
    <row r="775" spans="14:14">
      <c r="N775" s="62"/>
    </row>
    <row r="776" spans="14:14">
      <c r="N776" s="62"/>
    </row>
    <row r="777" spans="14:14">
      <c r="N777" s="62"/>
    </row>
    <row r="778" spans="14:14">
      <c r="N778" s="62"/>
    </row>
    <row r="779" spans="14:14">
      <c r="N779" s="62"/>
    </row>
    <row r="780" spans="14:14">
      <c r="N780" s="62"/>
    </row>
    <row r="781" spans="14:14">
      <c r="N781" s="62"/>
    </row>
    <row r="782" spans="14:14">
      <c r="N782" s="62"/>
    </row>
    <row r="783" spans="14:14">
      <c r="N783" s="62"/>
    </row>
    <row r="784" spans="14:14">
      <c r="N784" s="62"/>
    </row>
    <row r="785" spans="14:14">
      <c r="N785" s="62"/>
    </row>
    <row r="786" spans="14:14">
      <c r="N786" s="62"/>
    </row>
    <row r="787" spans="14:14">
      <c r="N787" s="62"/>
    </row>
    <row r="788" spans="14:14">
      <c r="N788" s="62"/>
    </row>
    <row r="789" spans="14:14">
      <c r="N789" s="62"/>
    </row>
    <row r="790" spans="14:14">
      <c r="N790" s="62"/>
    </row>
    <row r="791" spans="14:14">
      <c r="N791" s="62"/>
    </row>
    <row r="792" spans="14:14">
      <c r="N792" s="62"/>
    </row>
    <row r="793" spans="14:14">
      <c r="N793" s="62"/>
    </row>
    <row r="794" spans="14:14">
      <c r="N794" s="62"/>
    </row>
    <row r="795" spans="14:14">
      <c r="N795" s="62"/>
    </row>
    <row r="796" spans="14:14">
      <c r="N796" s="62"/>
    </row>
    <row r="797" spans="14:14">
      <c r="N797" s="62"/>
    </row>
    <row r="798" spans="14:14">
      <c r="N798" s="62"/>
    </row>
    <row r="799" spans="14:14">
      <c r="N799" s="62"/>
    </row>
    <row r="800" spans="14:14">
      <c r="N800" s="62"/>
    </row>
    <row r="801" spans="14:14">
      <c r="N801" s="62"/>
    </row>
    <row r="802" spans="14:14">
      <c r="N802" s="62"/>
    </row>
    <row r="803" spans="14:14">
      <c r="N803" s="62"/>
    </row>
    <row r="804" spans="14:14">
      <c r="N804" s="62"/>
    </row>
    <row r="805" spans="14:14">
      <c r="N805" s="62"/>
    </row>
    <row r="806" spans="14:14">
      <c r="N806" s="62"/>
    </row>
    <row r="807" spans="14:14">
      <c r="N807" s="62"/>
    </row>
    <row r="808" spans="14:14">
      <c r="N808" s="62"/>
    </row>
    <row r="809" spans="14:14">
      <c r="N809" s="62"/>
    </row>
    <row r="810" spans="14:14">
      <c r="N810" s="62"/>
    </row>
    <row r="811" spans="14:14">
      <c r="N811" s="62"/>
    </row>
    <row r="812" spans="14:14">
      <c r="N812" s="62"/>
    </row>
    <row r="813" spans="14:14">
      <c r="N813" s="62"/>
    </row>
    <row r="814" spans="14:14">
      <c r="N814" s="62"/>
    </row>
    <row r="815" spans="14:14">
      <c r="N815" s="62"/>
    </row>
    <row r="816" spans="14:14">
      <c r="N816" s="62"/>
    </row>
    <row r="817" spans="14:14">
      <c r="N817" s="62"/>
    </row>
    <row r="818" spans="14:14">
      <c r="N818" s="62"/>
    </row>
    <row r="819" spans="14:14">
      <c r="N819" s="62"/>
    </row>
    <row r="820" spans="14:14">
      <c r="N820" s="62"/>
    </row>
    <row r="821" spans="14:14">
      <c r="N821" s="62"/>
    </row>
    <row r="822" spans="14:14">
      <c r="N822" s="62"/>
    </row>
    <row r="823" spans="14:14">
      <c r="N823" s="62"/>
    </row>
    <row r="824" spans="14:14">
      <c r="N824" s="62"/>
    </row>
    <row r="825" spans="14:14">
      <c r="N825" s="62"/>
    </row>
    <row r="826" spans="14:14">
      <c r="N826" s="62"/>
    </row>
    <row r="827" spans="14:14">
      <c r="N827" s="62"/>
    </row>
    <row r="828" spans="14:14">
      <c r="N828" s="62"/>
    </row>
    <row r="829" spans="14:14">
      <c r="N829" s="62"/>
    </row>
    <row r="830" spans="14:14">
      <c r="N830" s="62"/>
    </row>
    <row r="831" spans="14:14">
      <c r="N831" s="62"/>
    </row>
    <row r="832" spans="14:14">
      <c r="N832" s="62"/>
    </row>
    <row r="833" spans="14:14">
      <c r="N833" s="62"/>
    </row>
    <row r="834" spans="14:14">
      <c r="N834" s="62"/>
    </row>
    <row r="835" spans="14:14">
      <c r="N835" s="62"/>
    </row>
    <row r="836" spans="14:14">
      <c r="N836" s="62"/>
    </row>
    <row r="837" spans="14:14">
      <c r="N837" s="62"/>
    </row>
    <row r="838" spans="14:14">
      <c r="N838" s="62"/>
    </row>
    <row r="839" spans="14:14">
      <c r="N839" s="62"/>
    </row>
    <row r="840" spans="14:14">
      <c r="N840" s="62"/>
    </row>
    <row r="841" spans="14:14">
      <c r="N841" s="62"/>
    </row>
    <row r="842" spans="14:14">
      <c r="N842" s="62"/>
    </row>
    <row r="843" spans="14:14">
      <c r="N843" s="62"/>
    </row>
    <row r="844" spans="14:14">
      <c r="N844" s="62"/>
    </row>
    <row r="845" spans="14:14">
      <c r="N845" s="62"/>
    </row>
    <row r="846" spans="14:14">
      <c r="N846" s="62"/>
    </row>
    <row r="847" spans="14:14">
      <c r="N847" s="62"/>
    </row>
    <row r="848" spans="14:14">
      <c r="N848" s="62"/>
    </row>
    <row r="849" spans="14:14">
      <c r="N849" s="62"/>
    </row>
    <row r="850" spans="14:14">
      <c r="N850" s="62"/>
    </row>
    <row r="851" spans="14:14">
      <c r="N851" s="62"/>
    </row>
    <row r="852" spans="14:14">
      <c r="N852" s="62"/>
    </row>
    <row r="853" spans="14:14">
      <c r="N853" s="62"/>
    </row>
    <row r="854" spans="14:14">
      <c r="N854" s="62"/>
    </row>
    <row r="855" spans="14:14">
      <c r="N855" s="62"/>
    </row>
    <row r="856" spans="14:14">
      <c r="N856" s="62"/>
    </row>
    <row r="857" spans="14:14">
      <c r="N857" s="62"/>
    </row>
    <row r="858" spans="14:14">
      <c r="N858" s="62"/>
    </row>
    <row r="859" spans="14:14">
      <c r="N859" s="62"/>
    </row>
    <row r="860" spans="14:14">
      <c r="N860" s="62"/>
    </row>
    <row r="861" spans="14:14">
      <c r="N861" s="62"/>
    </row>
    <row r="862" spans="14:14">
      <c r="N862" s="62"/>
    </row>
    <row r="863" spans="14:14">
      <c r="N863" s="62"/>
    </row>
    <row r="864" spans="14:14">
      <c r="N864" s="62"/>
    </row>
    <row r="865" spans="14:14">
      <c r="N865" s="62"/>
    </row>
    <row r="866" spans="14:14">
      <c r="N866" s="62"/>
    </row>
    <row r="867" spans="14:14">
      <c r="N867" s="62"/>
    </row>
    <row r="868" spans="14:14">
      <c r="N868" s="62"/>
    </row>
    <row r="869" spans="14:14">
      <c r="N869" s="62"/>
    </row>
    <row r="870" spans="14:14">
      <c r="N870" s="62"/>
    </row>
    <row r="871" spans="14:14">
      <c r="N871" s="62"/>
    </row>
    <row r="872" spans="14:14">
      <c r="N872" s="62"/>
    </row>
    <row r="873" spans="14:14">
      <c r="N873" s="62"/>
    </row>
    <row r="874" spans="14:14">
      <c r="N874" s="62"/>
    </row>
    <row r="875" spans="14:14">
      <c r="N875" s="62"/>
    </row>
    <row r="876" spans="14:14">
      <c r="N876" s="62"/>
    </row>
    <row r="877" spans="14:14">
      <c r="N877" s="62"/>
    </row>
    <row r="878" spans="14:14">
      <c r="N878" s="62"/>
    </row>
    <row r="879" spans="14:14">
      <c r="N879" s="62"/>
    </row>
    <row r="880" spans="14:14">
      <c r="N880" s="62"/>
    </row>
    <row r="881" spans="14:14">
      <c r="N881" s="62"/>
    </row>
    <row r="882" spans="14:14">
      <c r="N882" s="62"/>
    </row>
    <row r="883" spans="14:14">
      <c r="N883" s="62"/>
    </row>
    <row r="884" spans="14:14">
      <c r="N884" s="62"/>
    </row>
    <row r="885" spans="14:14">
      <c r="N885" s="62"/>
    </row>
    <row r="886" spans="14:14">
      <c r="N886" s="62"/>
    </row>
    <row r="887" spans="14:14">
      <c r="N887" s="62"/>
    </row>
    <row r="888" spans="14:14">
      <c r="N888" s="62"/>
    </row>
    <row r="889" spans="14:14">
      <c r="N889" s="62"/>
    </row>
    <row r="890" spans="14:14">
      <c r="N890" s="62"/>
    </row>
    <row r="891" spans="14:14">
      <c r="N891" s="62"/>
    </row>
    <row r="892" spans="14:14">
      <c r="N892" s="62"/>
    </row>
    <row r="893" spans="14:14">
      <c r="N893" s="62"/>
    </row>
    <row r="894" spans="14:14">
      <c r="N894" s="62"/>
    </row>
    <row r="895" spans="14:14">
      <c r="N895" s="62"/>
    </row>
    <row r="896" spans="14:14">
      <c r="N896" s="62"/>
    </row>
    <row r="897" spans="14:14">
      <c r="N897" s="62"/>
    </row>
    <row r="898" spans="14:14">
      <c r="N898" s="62"/>
    </row>
    <row r="899" spans="14:14">
      <c r="N899" s="62"/>
    </row>
    <row r="900" spans="14:14">
      <c r="N900" s="62"/>
    </row>
    <row r="901" spans="14:14">
      <c r="N901" s="62"/>
    </row>
    <row r="902" spans="14:14">
      <c r="N902" s="62"/>
    </row>
    <row r="903" spans="14:14">
      <c r="N903" s="62"/>
    </row>
    <row r="904" spans="14:14">
      <c r="N904" s="62"/>
    </row>
    <row r="905" spans="14:14">
      <c r="N905" s="62"/>
    </row>
    <row r="906" spans="14:14">
      <c r="N906" s="62"/>
    </row>
    <row r="907" spans="14:14">
      <c r="N907" s="62"/>
    </row>
    <row r="908" spans="14:14">
      <c r="N908" s="62"/>
    </row>
    <row r="909" spans="14:14">
      <c r="N909" s="62"/>
    </row>
    <row r="910" spans="14:14">
      <c r="N910" s="62"/>
    </row>
    <row r="911" spans="14:14">
      <c r="N911" s="62"/>
    </row>
    <row r="912" spans="14:14">
      <c r="N912" s="62"/>
    </row>
    <row r="913" spans="14:14">
      <c r="N913" s="62"/>
    </row>
    <row r="914" spans="14:14">
      <c r="N914" s="62"/>
    </row>
    <row r="915" spans="14:14">
      <c r="N915" s="62"/>
    </row>
    <row r="916" spans="14:14">
      <c r="N916" s="62"/>
    </row>
    <row r="917" spans="14:14">
      <c r="N917" s="62"/>
    </row>
    <row r="918" spans="14:14">
      <c r="N918" s="62"/>
    </row>
    <row r="919" spans="14:14">
      <c r="N919" s="62"/>
    </row>
    <row r="920" spans="14:14">
      <c r="N920" s="62"/>
    </row>
    <row r="921" spans="14:14">
      <c r="N921" s="62"/>
    </row>
    <row r="922" spans="14:14">
      <c r="N922" s="62"/>
    </row>
    <row r="923" spans="14:14">
      <c r="N923" s="62"/>
    </row>
    <row r="924" spans="14:14">
      <c r="N924" s="62"/>
    </row>
    <row r="925" spans="14:14">
      <c r="N925" s="62"/>
    </row>
    <row r="926" spans="14:14">
      <c r="N926" s="62"/>
    </row>
    <row r="927" spans="14:14">
      <c r="N927" s="62"/>
    </row>
    <row r="928" spans="14:14">
      <c r="N928" s="62"/>
    </row>
    <row r="929" spans="14:14">
      <c r="N929" s="62"/>
    </row>
    <row r="930" spans="14:14">
      <c r="N930" s="62"/>
    </row>
    <row r="931" spans="14:14">
      <c r="N931" s="62"/>
    </row>
    <row r="932" spans="14:14">
      <c r="N932" s="62"/>
    </row>
    <row r="933" spans="14:14">
      <c r="N933" s="62"/>
    </row>
    <row r="934" spans="14:14">
      <c r="N934" s="62"/>
    </row>
    <row r="935" spans="14:14">
      <c r="N935" s="62"/>
    </row>
    <row r="936" spans="14:14">
      <c r="N936" s="62"/>
    </row>
    <row r="937" spans="14:14">
      <c r="N937" s="62"/>
    </row>
    <row r="938" spans="14:14">
      <c r="N938" s="62"/>
    </row>
    <row r="939" spans="14:14">
      <c r="N939" s="62"/>
    </row>
    <row r="940" spans="14:14">
      <c r="N940" s="62"/>
    </row>
    <row r="941" spans="14:14">
      <c r="N941" s="62"/>
    </row>
    <row r="942" spans="14:14">
      <c r="N942" s="62"/>
    </row>
    <row r="943" spans="14:14">
      <c r="N943" s="62"/>
    </row>
    <row r="944" spans="14:14">
      <c r="N944" s="62"/>
    </row>
    <row r="945" spans="14:14">
      <c r="N945" s="62"/>
    </row>
    <row r="946" spans="14:14">
      <c r="N946" s="62"/>
    </row>
    <row r="947" spans="14:14">
      <c r="N947" s="62"/>
    </row>
    <row r="948" spans="14:14">
      <c r="N948" s="62"/>
    </row>
    <row r="949" spans="14:14">
      <c r="N949" s="62"/>
    </row>
    <row r="950" spans="14:14">
      <c r="N950" s="62"/>
    </row>
    <row r="951" spans="14:14">
      <c r="N951" s="62"/>
    </row>
    <row r="952" spans="14:14">
      <c r="N952" s="62"/>
    </row>
    <row r="953" spans="14:14">
      <c r="N953" s="62"/>
    </row>
    <row r="954" spans="14:14">
      <c r="N954" s="62"/>
    </row>
    <row r="955" spans="14:14">
      <c r="N955" s="62"/>
    </row>
    <row r="956" spans="14:14">
      <c r="N956" s="62"/>
    </row>
    <row r="957" spans="14:14">
      <c r="N957" s="62"/>
    </row>
    <row r="958" spans="14:14">
      <c r="N958" s="62"/>
    </row>
    <row r="959" spans="14:14">
      <c r="N959" s="62"/>
    </row>
    <row r="960" spans="14:14">
      <c r="N960" s="62"/>
    </row>
    <row r="961" spans="14:14">
      <c r="N961" s="62"/>
    </row>
    <row r="962" spans="14:14">
      <c r="N962" s="62"/>
    </row>
    <row r="963" spans="14:14">
      <c r="N963" s="62"/>
    </row>
    <row r="964" spans="14:14">
      <c r="N964" s="62"/>
    </row>
    <row r="965" spans="14:14">
      <c r="N965" s="62"/>
    </row>
    <row r="966" spans="14:14">
      <c r="N966" s="62"/>
    </row>
    <row r="967" spans="14:14">
      <c r="N967" s="62"/>
    </row>
    <row r="968" spans="14:14">
      <c r="N968" s="62"/>
    </row>
    <row r="969" spans="14:14">
      <c r="N969" s="62"/>
    </row>
    <row r="970" spans="14:14">
      <c r="N970" s="62"/>
    </row>
    <row r="971" spans="14:14">
      <c r="N971" s="62"/>
    </row>
    <row r="972" spans="14:14">
      <c r="N972" s="62"/>
    </row>
    <row r="973" spans="14:14">
      <c r="N973" s="62"/>
    </row>
    <row r="974" spans="14:14">
      <c r="N974" s="62"/>
    </row>
    <row r="975" spans="14:14">
      <c r="N975" s="62"/>
    </row>
    <row r="976" spans="14:14">
      <c r="N976" s="62"/>
    </row>
    <row r="977" spans="14:14">
      <c r="N977" s="62"/>
    </row>
    <row r="978" spans="14:14">
      <c r="N978" s="62"/>
    </row>
    <row r="979" spans="14:14">
      <c r="N979" s="62"/>
    </row>
    <row r="980" spans="14:14">
      <c r="N980" s="62"/>
    </row>
    <row r="981" spans="14:14">
      <c r="N981" s="62"/>
    </row>
    <row r="982" spans="14:14">
      <c r="N982" s="62"/>
    </row>
    <row r="983" spans="14:14">
      <c r="N983" s="62"/>
    </row>
    <row r="984" spans="14:14">
      <c r="N984" s="62"/>
    </row>
    <row r="985" spans="14:14">
      <c r="N985" s="62"/>
    </row>
    <row r="986" spans="14:14">
      <c r="N986" s="62"/>
    </row>
    <row r="987" spans="14:14">
      <c r="N987" s="62"/>
    </row>
    <row r="988" spans="14:14">
      <c r="N988" s="62"/>
    </row>
    <row r="989" spans="14:14">
      <c r="N989" s="62"/>
    </row>
    <row r="990" spans="14:14">
      <c r="N990" s="62"/>
    </row>
    <row r="991" spans="14:14">
      <c r="N991" s="62"/>
    </row>
    <row r="992" spans="14:14">
      <c r="N992" s="62"/>
    </row>
    <row r="993" spans="14:14">
      <c r="N993" s="62"/>
    </row>
    <row r="994" spans="14:14">
      <c r="N994" s="62"/>
    </row>
    <row r="995" spans="14:14">
      <c r="N995" s="62"/>
    </row>
    <row r="996" spans="14:14">
      <c r="N996" s="62"/>
    </row>
    <row r="997" spans="14:14">
      <c r="N997" s="62"/>
    </row>
    <row r="998" spans="14:14">
      <c r="N998" s="62"/>
    </row>
    <row r="999" spans="14:14">
      <c r="N999" s="62"/>
    </row>
    <row r="1000" spans="14:14">
      <c r="N1000" s="62"/>
    </row>
    <row r="1001" spans="14:14">
      <c r="N1001" s="62"/>
    </row>
    <row r="1002" spans="14:14">
      <c r="N1002" s="62"/>
    </row>
    <row r="1003" spans="14:14">
      <c r="N1003" s="62"/>
    </row>
    <row r="1004" spans="14:14">
      <c r="N1004" s="62"/>
    </row>
    <row r="1005" spans="14:14">
      <c r="N1005" s="62"/>
    </row>
    <row r="1006" spans="14:14">
      <c r="N1006" s="62"/>
    </row>
    <row r="1007" spans="14:14">
      <c r="N1007" s="62"/>
    </row>
    <row r="1008" spans="14:14">
      <c r="N1008" s="62"/>
    </row>
    <row r="1009" spans="14:14">
      <c r="N1009" s="62"/>
    </row>
    <row r="1010" spans="14:14">
      <c r="N1010" s="62"/>
    </row>
    <row r="1011" spans="14:14">
      <c r="N1011" s="62"/>
    </row>
    <row r="1012" spans="14:14">
      <c r="N1012" s="62"/>
    </row>
    <row r="1013" spans="14:14">
      <c r="N1013" s="62"/>
    </row>
    <row r="1014" spans="14:14">
      <c r="N1014" s="62"/>
    </row>
    <row r="1015" spans="14:14">
      <c r="N1015" s="62"/>
    </row>
    <row r="1016" spans="14:14">
      <c r="N1016" s="62"/>
    </row>
    <row r="1017" spans="14:14">
      <c r="N1017" s="62"/>
    </row>
    <row r="1018" spans="14:14">
      <c r="N1018" s="62"/>
    </row>
    <row r="1019" spans="14:14">
      <c r="N1019" s="62"/>
    </row>
    <row r="1020" spans="14:14">
      <c r="N1020" s="62"/>
    </row>
    <row r="1021" spans="14:14">
      <c r="N1021" s="62"/>
    </row>
    <row r="1022" spans="14:14">
      <c r="N1022" s="62"/>
    </row>
    <row r="1023" spans="14:14">
      <c r="N1023" s="62"/>
    </row>
    <row r="1024" spans="14:14">
      <c r="N1024" s="62"/>
    </row>
    <row r="1025" spans="14:14">
      <c r="N1025" s="62"/>
    </row>
    <row r="1026" spans="14:14">
      <c r="N1026" s="62"/>
    </row>
    <row r="1027" spans="14:14">
      <c r="N1027" s="62"/>
    </row>
    <row r="1028" spans="14:14">
      <c r="N1028" s="62"/>
    </row>
    <row r="1029" spans="14:14">
      <c r="N1029" s="62"/>
    </row>
    <row r="1030" spans="14:14">
      <c r="N1030" s="62"/>
    </row>
    <row r="1031" spans="14:14">
      <c r="N1031" s="62"/>
    </row>
    <row r="1032" spans="14:14">
      <c r="N1032" s="62"/>
    </row>
    <row r="1033" spans="14:14">
      <c r="N1033" s="62"/>
    </row>
    <row r="1034" spans="14:14">
      <c r="N1034" s="62"/>
    </row>
    <row r="1035" spans="14:14">
      <c r="N1035" s="62"/>
    </row>
    <row r="1036" spans="14:14">
      <c r="N1036" s="62"/>
    </row>
    <row r="1037" spans="14:14">
      <c r="N1037" s="62"/>
    </row>
    <row r="1038" spans="14:14">
      <c r="N1038" s="62"/>
    </row>
    <row r="1039" spans="14:14">
      <c r="N1039" s="62"/>
    </row>
    <row r="1040" spans="14:14">
      <c r="N1040" s="62"/>
    </row>
    <row r="1041" spans="14:14">
      <c r="N1041" s="62"/>
    </row>
    <row r="1042" spans="14:14">
      <c r="N1042" s="62"/>
    </row>
    <row r="1043" spans="14:14">
      <c r="N1043" s="62"/>
    </row>
    <row r="1044" spans="14:14">
      <c r="N1044" s="62"/>
    </row>
    <row r="1045" spans="14:14">
      <c r="N1045" s="62"/>
    </row>
    <row r="1046" spans="14:14">
      <c r="N1046" s="62"/>
    </row>
    <row r="1047" spans="14:14">
      <c r="N1047" s="62"/>
    </row>
    <row r="1048" spans="14:14">
      <c r="N1048" s="62"/>
    </row>
    <row r="1049" spans="14:14">
      <c r="N1049" s="62"/>
    </row>
    <row r="1050" spans="14:14">
      <c r="N1050" s="62"/>
    </row>
    <row r="1051" spans="14:14">
      <c r="N1051" s="62"/>
    </row>
    <row r="1052" spans="14:14">
      <c r="N1052" s="62"/>
    </row>
    <row r="1053" spans="14:14">
      <c r="N1053" s="62"/>
    </row>
    <row r="1054" spans="14:14">
      <c r="N1054" s="62"/>
    </row>
    <row r="1055" spans="14:14">
      <c r="N1055" s="62"/>
    </row>
    <row r="1056" spans="14:14">
      <c r="N1056" s="62"/>
    </row>
    <row r="1057" spans="14:14">
      <c r="N1057" s="62"/>
    </row>
    <row r="1058" spans="14:14">
      <c r="N1058" s="62"/>
    </row>
    <row r="1059" spans="14:14">
      <c r="N1059" s="62"/>
    </row>
    <row r="1060" spans="14:14">
      <c r="N1060" s="62"/>
    </row>
    <row r="1061" spans="14:14">
      <c r="N1061" s="62"/>
    </row>
    <row r="1062" spans="14:14">
      <c r="N1062" s="62"/>
    </row>
    <row r="1063" spans="14:14">
      <c r="N1063" s="62"/>
    </row>
    <row r="1064" spans="14:14">
      <c r="N1064" s="62"/>
    </row>
    <row r="1065" spans="14:14">
      <c r="N1065" s="62"/>
    </row>
    <row r="1066" spans="14:14">
      <c r="N1066" s="62"/>
    </row>
    <row r="1067" spans="14:14">
      <c r="N1067" s="62"/>
    </row>
    <row r="1068" spans="14:14">
      <c r="N1068" s="62"/>
    </row>
    <row r="1069" spans="14:14">
      <c r="N1069" s="62"/>
    </row>
    <row r="1070" spans="14:14">
      <c r="N1070" s="62"/>
    </row>
    <row r="1071" spans="14:14">
      <c r="N1071" s="62"/>
    </row>
    <row r="1072" spans="14:14">
      <c r="N1072" s="62"/>
    </row>
    <row r="1073" spans="14:14">
      <c r="N1073" s="62"/>
    </row>
    <row r="1074" spans="14:14">
      <c r="N1074" s="62"/>
    </row>
    <row r="1075" spans="14:14">
      <c r="N1075" s="62"/>
    </row>
    <row r="1076" spans="14:14">
      <c r="N1076" s="62"/>
    </row>
    <row r="1077" spans="14:14">
      <c r="N1077" s="62"/>
    </row>
    <row r="1078" spans="14:14">
      <c r="N1078" s="62"/>
    </row>
    <row r="1079" spans="14:14">
      <c r="N1079" s="62"/>
    </row>
    <row r="1080" spans="14:14">
      <c r="N1080" s="62"/>
    </row>
    <row r="1081" spans="14:14">
      <c r="N1081" s="62"/>
    </row>
    <row r="1082" spans="14:14">
      <c r="N1082" s="62"/>
    </row>
    <row r="1083" spans="14:14">
      <c r="N1083" s="62"/>
    </row>
    <row r="1084" spans="14:14">
      <c r="N1084" s="62"/>
    </row>
    <row r="1085" spans="14:14">
      <c r="N1085" s="62"/>
    </row>
    <row r="1086" spans="14:14">
      <c r="N1086" s="62"/>
    </row>
    <row r="1087" spans="14:14">
      <c r="N1087" s="62"/>
    </row>
    <row r="1088" spans="14:14">
      <c r="N1088" s="62"/>
    </row>
    <row r="1089" spans="14:14">
      <c r="N1089" s="62"/>
    </row>
    <row r="1090" spans="14:14">
      <c r="N1090" s="62"/>
    </row>
    <row r="1091" spans="14:14">
      <c r="N1091" s="62"/>
    </row>
    <row r="1092" spans="14:14">
      <c r="N1092" s="62"/>
    </row>
    <row r="1093" spans="14:14">
      <c r="N1093" s="62"/>
    </row>
    <row r="1094" spans="14:14">
      <c r="N1094" s="62"/>
    </row>
    <row r="1095" spans="14:14">
      <c r="N1095" s="62"/>
    </row>
    <row r="1096" spans="14:14">
      <c r="N1096" s="62"/>
    </row>
    <row r="1097" spans="14:14">
      <c r="N1097" s="62"/>
    </row>
    <row r="1098" spans="14:14">
      <c r="N1098" s="62"/>
    </row>
    <row r="1099" spans="14:14">
      <c r="N1099" s="62"/>
    </row>
    <row r="1100" spans="14:14">
      <c r="N1100" s="62"/>
    </row>
    <row r="1101" spans="14:14">
      <c r="N1101" s="62"/>
    </row>
    <row r="1102" spans="14:14">
      <c r="N1102" s="62"/>
    </row>
    <row r="1103" spans="14:14">
      <c r="N1103" s="62"/>
    </row>
    <row r="1104" spans="14:14">
      <c r="N1104" s="62"/>
    </row>
    <row r="1105" spans="14:14">
      <c r="N1105" s="62"/>
    </row>
    <row r="1106" spans="14:14">
      <c r="N1106" s="62"/>
    </row>
    <row r="1107" spans="14:14">
      <c r="N1107" s="62"/>
    </row>
    <row r="1108" spans="14:14">
      <c r="N1108" s="62"/>
    </row>
    <row r="1109" spans="14:14">
      <c r="N1109" s="62"/>
    </row>
    <row r="1110" spans="14:14">
      <c r="N1110" s="62"/>
    </row>
    <row r="1111" spans="14:14">
      <c r="N1111" s="62"/>
    </row>
    <row r="1112" spans="14:14">
      <c r="N1112" s="62"/>
    </row>
    <row r="1113" spans="14:14">
      <c r="N1113" s="62"/>
    </row>
    <row r="1114" spans="14:14">
      <c r="N1114" s="62"/>
    </row>
    <row r="1115" spans="14:14">
      <c r="N1115" s="62"/>
    </row>
    <row r="1116" spans="14:14">
      <c r="N1116" s="62"/>
    </row>
    <row r="1117" spans="14:14">
      <c r="N1117" s="62"/>
    </row>
    <row r="1118" spans="14:14">
      <c r="N1118" s="62"/>
    </row>
    <row r="1119" spans="14:14">
      <c r="N1119" s="62"/>
    </row>
    <row r="1120" spans="14:14">
      <c r="N1120" s="62"/>
    </row>
    <row r="1121" spans="14:14">
      <c r="N1121" s="62"/>
    </row>
    <row r="1122" spans="14:14">
      <c r="N1122" s="62"/>
    </row>
    <row r="1123" spans="14:14">
      <c r="N1123" s="62"/>
    </row>
    <row r="1124" spans="14:14">
      <c r="N1124" s="62"/>
    </row>
    <row r="1125" spans="14:14">
      <c r="N1125" s="62"/>
    </row>
    <row r="1126" spans="14:14">
      <c r="N1126" s="62"/>
    </row>
    <row r="1127" spans="14:14">
      <c r="N1127" s="62"/>
    </row>
    <row r="1128" spans="14:14">
      <c r="N1128" s="62"/>
    </row>
    <row r="1129" spans="14:14">
      <c r="N1129" s="62"/>
    </row>
    <row r="1130" spans="14:14">
      <c r="N1130" s="62"/>
    </row>
    <row r="1131" spans="14:14">
      <c r="N1131" s="62"/>
    </row>
    <row r="1132" spans="14:14">
      <c r="N1132" s="62"/>
    </row>
    <row r="1133" spans="14:14">
      <c r="N1133" s="62"/>
    </row>
    <row r="1134" spans="14:14">
      <c r="N1134" s="62"/>
    </row>
    <row r="1135" spans="14:14">
      <c r="N1135" s="62"/>
    </row>
    <row r="1136" spans="14:14">
      <c r="N1136" s="62"/>
    </row>
    <row r="1137" spans="14:14">
      <c r="N1137" s="62"/>
    </row>
    <row r="1138" spans="14:14">
      <c r="N1138" s="62"/>
    </row>
    <row r="1139" spans="14:14">
      <c r="N1139" s="62"/>
    </row>
    <row r="1140" spans="14:14">
      <c r="N1140" s="62"/>
    </row>
    <row r="1141" spans="14:14">
      <c r="N1141" s="62"/>
    </row>
    <row r="1142" spans="14:14">
      <c r="N1142" s="62"/>
    </row>
    <row r="1143" spans="14:14">
      <c r="N1143" s="62"/>
    </row>
    <row r="1144" spans="14:14">
      <c r="N1144" s="62"/>
    </row>
    <row r="1145" spans="14:14">
      <c r="N1145" s="62"/>
    </row>
    <row r="1146" spans="14:14">
      <c r="N1146" s="62"/>
    </row>
    <row r="1147" spans="14:14">
      <c r="N1147" s="62"/>
    </row>
    <row r="1148" spans="14:14">
      <c r="N1148" s="62"/>
    </row>
    <row r="1149" spans="14:14">
      <c r="N1149" s="62"/>
    </row>
    <row r="1150" spans="14:14">
      <c r="N1150" s="62"/>
    </row>
    <row r="1151" spans="14:14">
      <c r="N1151" s="62"/>
    </row>
    <row r="1152" spans="14:14">
      <c r="N1152" s="62"/>
    </row>
    <row r="1153" spans="14:14">
      <c r="N1153" s="62"/>
    </row>
    <row r="1154" spans="14:14">
      <c r="N1154" s="62"/>
    </row>
    <row r="1155" spans="14:14">
      <c r="N1155" s="62"/>
    </row>
    <row r="1156" spans="14:14">
      <c r="N1156" s="62"/>
    </row>
    <row r="1157" spans="14:14">
      <c r="N1157" s="62"/>
    </row>
    <row r="1158" spans="14:14">
      <c r="N1158" s="62"/>
    </row>
    <row r="1159" spans="14:14">
      <c r="N1159" s="62"/>
    </row>
    <row r="1160" spans="14:14">
      <c r="N1160" s="62"/>
    </row>
    <row r="1161" spans="14:14">
      <c r="N1161" s="62"/>
    </row>
    <row r="1162" spans="14:14">
      <c r="N1162" s="62"/>
    </row>
    <row r="1163" spans="14:14">
      <c r="N1163" s="62"/>
    </row>
    <row r="1164" spans="14:14">
      <c r="N1164" s="62"/>
    </row>
    <row r="1165" spans="14:14">
      <c r="N1165" s="62"/>
    </row>
    <row r="1166" spans="14:14">
      <c r="N1166" s="62"/>
    </row>
    <row r="1167" spans="14:14">
      <c r="N1167" s="62"/>
    </row>
    <row r="1168" spans="14:14">
      <c r="N1168" s="62"/>
    </row>
    <row r="1169" spans="14:14">
      <c r="N1169" s="62"/>
    </row>
    <row r="1170" spans="14:14">
      <c r="N1170" s="62"/>
    </row>
    <row r="1171" spans="14:14">
      <c r="N1171" s="62"/>
    </row>
    <row r="1172" spans="14:14">
      <c r="N1172" s="62"/>
    </row>
    <row r="1173" spans="14:14">
      <c r="N1173" s="62"/>
    </row>
    <row r="1174" spans="14:14">
      <c r="N1174" s="62"/>
    </row>
    <row r="1175" spans="14:14">
      <c r="N1175" s="62"/>
    </row>
    <row r="1176" spans="14:14">
      <c r="N1176" s="62"/>
    </row>
    <row r="1177" spans="14:14">
      <c r="N1177" s="62"/>
    </row>
    <row r="1178" spans="14:14">
      <c r="N1178" s="62"/>
    </row>
    <row r="1179" spans="14:14">
      <c r="N1179" s="62"/>
    </row>
    <row r="1180" spans="14:14">
      <c r="N1180" s="62"/>
    </row>
    <row r="1181" spans="14:14">
      <c r="N1181" s="62"/>
    </row>
    <row r="1182" spans="14:14">
      <c r="N1182" s="62"/>
    </row>
    <row r="1183" spans="14:14">
      <c r="N1183" s="62"/>
    </row>
    <row r="1184" spans="14:14">
      <c r="N1184" s="62"/>
    </row>
    <row r="1185" spans="14:14">
      <c r="N1185" s="62"/>
    </row>
    <row r="1186" spans="14:14">
      <c r="N1186" s="62"/>
    </row>
    <row r="1187" spans="14:14">
      <c r="N1187" s="62"/>
    </row>
    <row r="1188" spans="14:14">
      <c r="N1188" s="62"/>
    </row>
    <row r="1189" spans="14:14">
      <c r="N1189" s="62"/>
    </row>
    <row r="1190" spans="14:14">
      <c r="N1190" s="62"/>
    </row>
    <row r="1191" spans="14:14">
      <c r="N1191" s="62"/>
    </row>
    <row r="1192" spans="14:14">
      <c r="N1192" s="62"/>
    </row>
    <row r="1193" spans="14:14">
      <c r="N1193" s="62"/>
    </row>
    <row r="1194" spans="14:14">
      <c r="N1194" s="62"/>
    </row>
    <row r="1195" spans="14:14">
      <c r="N1195" s="62"/>
    </row>
    <row r="1196" spans="14:14">
      <c r="N1196" s="62"/>
    </row>
    <row r="1197" spans="14:14">
      <c r="N1197" s="62"/>
    </row>
    <row r="1198" spans="14:14">
      <c r="N1198" s="62"/>
    </row>
    <row r="1199" spans="14:14">
      <c r="N1199" s="62"/>
    </row>
    <row r="1200" spans="14:14">
      <c r="N1200" s="62"/>
    </row>
    <row r="1201" spans="14:14">
      <c r="N1201" s="62"/>
    </row>
    <row r="1202" spans="14:14">
      <c r="N1202" s="62"/>
    </row>
    <row r="1203" spans="14:14">
      <c r="N1203" s="62"/>
    </row>
    <row r="1204" spans="14:14">
      <c r="N1204" s="62"/>
    </row>
    <row r="1205" spans="14:14">
      <c r="N1205" s="62"/>
    </row>
    <row r="1206" spans="14:14">
      <c r="N1206" s="62"/>
    </row>
    <row r="1207" spans="14:14">
      <c r="N1207" s="62"/>
    </row>
    <row r="1208" spans="14:14">
      <c r="N1208" s="62"/>
    </row>
    <row r="1209" spans="14:14">
      <c r="N1209" s="62"/>
    </row>
    <row r="1210" spans="14:14">
      <c r="N1210" s="62"/>
    </row>
    <row r="1211" spans="14:14">
      <c r="N1211" s="62"/>
    </row>
    <row r="1212" spans="14:14">
      <c r="N1212" s="62"/>
    </row>
    <row r="1213" spans="14:14">
      <c r="N1213" s="62"/>
    </row>
    <row r="1214" spans="14:14">
      <c r="N1214" s="62"/>
    </row>
    <row r="1215" spans="14:14">
      <c r="N1215" s="62"/>
    </row>
    <row r="1216" spans="14:14">
      <c r="N1216" s="62"/>
    </row>
    <row r="1217" spans="14:14">
      <c r="N1217" s="62"/>
    </row>
    <row r="1218" spans="14:14">
      <c r="N1218" s="62"/>
    </row>
    <row r="1219" spans="14:14">
      <c r="N1219" s="62"/>
    </row>
    <row r="1220" spans="14:14">
      <c r="N1220" s="62"/>
    </row>
    <row r="1221" spans="14:14">
      <c r="N1221" s="62"/>
    </row>
    <row r="1222" spans="14:14">
      <c r="N1222" s="62"/>
    </row>
    <row r="1223" spans="14:14">
      <c r="N1223" s="62"/>
    </row>
    <row r="1224" spans="14:14">
      <c r="N1224" s="62"/>
    </row>
    <row r="1225" spans="14:14">
      <c r="N1225" s="62"/>
    </row>
    <row r="1226" spans="14:14">
      <c r="N1226" s="62"/>
    </row>
    <row r="1227" spans="14:14">
      <c r="N1227" s="62"/>
    </row>
    <row r="1228" spans="14:14">
      <c r="N1228" s="62"/>
    </row>
    <row r="1229" spans="14:14">
      <c r="N1229" s="62"/>
    </row>
    <row r="1230" spans="14:14">
      <c r="N1230" s="62"/>
    </row>
    <row r="1231" spans="14:14">
      <c r="N1231" s="62"/>
    </row>
    <row r="1232" spans="14:14">
      <c r="N1232" s="62"/>
    </row>
    <row r="1233" spans="14:14">
      <c r="N1233" s="62"/>
    </row>
    <row r="1234" spans="14:14">
      <c r="N1234" s="62"/>
    </row>
    <row r="1235" spans="14:14">
      <c r="N1235" s="62"/>
    </row>
    <row r="1236" spans="14:14">
      <c r="N1236" s="62"/>
    </row>
    <row r="1237" spans="14:14">
      <c r="N1237" s="62"/>
    </row>
    <row r="1238" spans="14:14">
      <c r="N1238" s="62"/>
    </row>
    <row r="1239" spans="14:14">
      <c r="N1239" s="62"/>
    </row>
    <row r="1240" spans="14:14">
      <c r="N1240" s="62"/>
    </row>
    <row r="1241" spans="14:14">
      <c r="N1241" s="62"/>
    </row>
    <row r="1242" spans="14:14">
      <c r="N1242" s="62"/>
    </row>
    <row r="1243" spans="14:14">
      <c r="N1243" s="62"/>
    </row>
    <row r="1244" spans="14:14">
      <c r="N1244" s="62"/>
    </row>
    <row r="1245" spans="14:14">
      <c r="N1245" s="62"/>
    </row>
    <row r="1246" spans="14:14">
      <c r="N1246" s="62"/>
    </row>
    <row r="1247" spans="14:14">
      <c r="N1247" s="62"/>
    </row>
    <row r="1248" spans="14:14">
      <c r="N1248" s="62"/>
    </row>
    <row r="1249" spans="14:14">
      <c r="N1249" s="62"/>
    </row>
    <row r="1250" spans="14:14">
      <c r="N1250" s="62"/>
    </row>
    <row r="1251" spans="14:14">
      <c r="N1251" s="62"/>
    </row>
    <row r="1252" spans="14:14">
      <c r="N1252" s="62"/>
    </row>
    <row r="1253" spans="14:14">
      <c r="N1253" s="62"/>
    </row>
    <row r="1254" spans="14:14">
      <c r="N1254" s="62"/>
    </row>
    <row r="1255" spans="14:14">
      <c r="N1255" s="62"/>
    </row>
    <row r="1256" spans="14:14">
      <c r="N1256" s="62"/>
    </row>
    <row r="1257" spans="14:14">
      <c r="N1257" s="62"/>
    </row>
    <row r="1258" spans="14:14">
      <c r="N1258" s="62"/>
    </row>
    <row r="1259" spans="14:14">
      <c r="N1259" s="62"/>
    </row>
    <row r="1260" spans="14:14">
      <c r="N1260" s="62"/>
    </row>
    <row r="1261" spans="14:14">
      <c r="N1261" s="62"/>
    </row>
    <row r="1262" spans="14:14">
      <c r="N1262" s="62"/>
    </row>
    <row r="1263" spans="14:14">
      <c r="N1263" s="62"/>
    </row>
    <row r="1264" spans="14:14">
      <c r="N1264" s="62"/>
    </row>
    <row r="1265" spans="14:14">
      <c r="N1265" s="62"/>
    </row>
    <row r="1266" spans="14:14">
      <c r="N1266" s="62"/>
    </row>
    <row r="1267" spans="14:14">
      <c r="N1267" s="62"/>
    </row>
    <row r="1268" spans="14:14">
      <c r="N1268" s="62"/>
    </row>
    <row r="1269" spans="14:14">
      <c r="N1269" s="62"/>
    </row>
    <row r="1270" spans="14:14">
      <c r="N1270" s="62"/>
    </row>
    <row r="1271" spans="14:14">
      <c r="N1271" s="62"/>
    </row>
    <row r="1272" spans="14:14">
      <c r="N1272" s="62"/>
    </row>
    <row r="1273" spans="14:14">
      <c r="N1273" s="62"/>
    </row>
    <row r="1274" spans="14:14">
      <c r="N1274" s="62"/>
    </row>
    <row r="1275" spans="14:14">
      <c r="N1275" s="62"/>
    </row>
    <row r="1276" spans="14:14">
      <c r="N1276" s="62"/>
    </row>
    <row r="1277" spans="14:14">
      <c r="N1277" s="62"/>
    </row>
    <row r="1278" spans="14:14">
      <c r="N1278" s="62"/>
    </row>
    <row r="1279" spans="14:14">
      <c r="N1279" s="62"/>
    </row>
    <row r="1280" spans="14:14">
      <c r="N1280" s="62"/>
    </row>
    <row r="1281" spans="14:14">
      <c r="N1281" s="62"/>
    </row>
    <row r="1282" spans="14:14">
      <c r="N1282" s="62"/>
    </row>
    <row r="1283" spans="14:14">
      <c r="N1283" s="62"/>
    </row>
    <row r="1284" spans="14:14">
      <c r="N1284" s="62"/>
    </row>
    <row r="1285" spans="14:14">
      <c r="N1285" s="62"/>
    </row>
    <row r="1286" spans="14:14">
      <c r="N1286" s="62"/>
    </row>
    <row r="1287" spans="14:14">
      <c r="N1287" s="62"/>
    </row>
    <row r="1288" spans="14:14">
      <c r="N1288" s="62"/>
    </row>
    <row r="1289" spans="14:14">
      <c r="N1289" s="62"/>
    </row>
    <row r="1290" spans="14:14">
      <c r="N1290" s="62"/>
    </row>
    <row r="1291" spans="14:14">
      <c r="N1291" s="62"/>
    </row>
    <row r="1292" spans="14:14">
      <c r="N1292" s="62"/>
    </row>
    <row r="1293" spans="14:14">
      <c r="N1293" s="62"/>
    </row>
    <row r="1294" spans="14:14">
      <c r="N1294" s="62"/>
    </row>
    <row r="1295" spans="14:14">
      <c r="N1295" s="62"/>
    </row>
    <row r="1296" spans="14:14">
      <c r="N1296" s="62"/>
    </row>
    <row r="1297" spans="14:14">
      <c r="N1297" s="62"/>
    </row>
    <row r="1298" spans="14:14">
      <c r="N1298" s="62"/>
    </row>
    <row r="1299" spans="14:14">
      <c r="N1299" s="62"/>
    </row>
    <row r="1300" spans="14:14">
      <c r="N1300" s="62"/>
    </row>
    <row r="1301" spans="14:14">
      <c r="N1301" s="62"/>
    </row>
    <row r="1302" spans="14:14">
      <c r="N1302" s="62"/>
    </row>
    <row r="1303" spans="14:14">
      <c r="N1303" s="62"/>
    </row>
    <row r="1304" spans="14:14">
      <c r="N1304" s="62"/>
    </row>
    <row r="1305" spans="14:14">
      <c r="N1305" s="62"/>
    </row>
    <row r="1306" spans="14:14">
      <c r="N1306" s="62"/>
    </row>
    <row r="1307" spans="14:14">
      <c r="N1307" s="62"/>
    </row>
    <row r="1308" spans="14:14">
      <c r="N1308" s="62"/>
    </row>
    <row r="1309" spans="14:14">
      <c r="N1309" s="62"/>
    </row>
    <row r="1310" spans="14:14">
      <c r="N1310" s="62"/>
    </row>
    <row r="1311" spans="14:14">
      <c r="N1311" s="62"/>
    </row>
    <row r="1312" spans="14:14">
      <c r="N1312" s="62"/>
    </row>
    <row r="1313" spans="14:14">
      <c r="N1313" s="62"/>
    </row>
    <row r="1314" spans="14:14">
      <c r="N1314" s="62"/>
    </row>
    <row r="1315" spans="14:14">
      <c r="N1315" s="62"/>
    </row>
    <row r="1316" spans="14:14">
      <c r="N1316" s="62"/>
    </row>
    <row r="1317" spans="14:14">
      <c r="N1317" s="62"/>
    </row>
    <row r="1318" spans="14:14">
      <c r="N1318" s="62"/>
    </row>
    <row r="1319" spans="14:14">
      <c r="N1319" s="62"/>
    </row>
    <row r="1320" spans="14:14">
      <c r="N1320" s="62"/>
    </row>
    <row r="1321" spans="14:14">
      <c r="N1321" s="62"/>
    </row>
    <row r="1322" spans="14:14">
      <c r="N1322" s="62"/>
    </row>
    <row r="1323" spans="14:14">
      <c r="N1323" s="62"/>
    </row>
    <row r="1324" spans="14:14">
      <c r="N1324" s="62"/>
    </row>
    <row r="1325" spans="14:14">
      <c r="N1325" s="62"/>
    </row>
    <row r="1326" spans="14:14">
      <c r="N1326" s="62"/>
    </row>
    <row r="1327" spans="14:14">
      <c r="N1327" s="62"/>
    </row>
    <row r="1328" spans="14:14">
      <c r="N1328" s="62"/>
    </row>
    <row r="1329" spans="14:14">
      <c r="N1329" s="62"/>
    </row>
    <row r="1330" spans="14:14">
      <c r="N1330" s="62"/>
    </row>
    <row r="1331" spans="14:14">
      <c r="N1331" s="62"/>
    </row>
    <row r="1332" spans="14:14">
      <c r="N1332" s="62"/>
    </row>
    <row r="1333" spans="14:14">
      <c r="N1333" s="62"/>
    </row>
    <row r="1334" spans="14:14">
      <c r="N1334" s="62"/>
    </row>
    <row r="1335" spans="14:14">
      <c r="N1335" s="62"/>
    </row>
    <row r="1336" spans="14:14">
      <c r="N1336" s="62"/>
    </row>
    <row r="1337" spans="14:14">
      <c r="N1337" s="62"/>
    </row>
    <row r="1338" spans="14:14">
      <c r="N1338" s="62"/>
    </row>
    <row r="1339" spans="14:14">
      <c r="N1339" s="62"/>
    </row>
    <row r="1340" spans="14:14">
      <c r="N1340" s="62"/>
    </row>
    <row r="1341" spans="14:14">
      <c r="N1341" s="62"/>
    </row>
    <row r="1342" spans="14:14">
      <c r="N1342" s="62"/>
    </row>
    <row r="1343" spans="14:14">
      <c r="N1343" s="62"/>
    </row>
    <row r="1344" spans="14:14">
      <c r="N1344" s="62"/>
    </row>
    <row r="1345" spans="14:14">
      <c r="N1345" s="62"/>
    </row>
    <row r="1346" spans="14:14">
      <c r="N1346" s="62"/>
    </row>
    <row r="1347" spans="14:14">
      <c r="N1347" s="62"/>
    </row>
    <row r="1348" spans="14:14">
      <c r="N1348" s="62"/>
    </row>
    <row r="1349" spans="14:14">
      <c r="N1349" s="62"/>
    </row>
    <row r="1350" spans="14:14">
      <c r="N1350" s="62"/>
    </row>
    <row r="1351" spans="14:14">
      <c r="N1351" s="62"/>
    </row>
    <row r="1352" spans="14:14">
      <c r="N1352" s="62"/>
    </row>
    <row r="1353" spans="14:14">
      <c r="N1353" s="62"/>
    </row>
    <row r="1354" spans="14:14">
      <c r="N1354" s="62"/>
    </row>
    <row r="1355" spans="14:14">
      <c r="N1355" s="62"/>
    </row>
    <row r="1356" spans="14:14">
      <c r="N1356" s="62"/>
    </row>
    <row r="1357" spans="14:14">
      <c r="N1357" s="62"/>
    </row>
    <row r="1358" spans="14:14">
      <c r="N1358" s="62"/>
    </row>
    <row r="1359" spans="14:14">
      <c r="N1359" s="62"/>
    </row>
    <row r="1360" spans="14:14">
      <c r="N1360" s="62"/>
    </row>
    <row r="1361" spans="14:14">
      <c r="N1361" s="62"/>
    </row>
    <row r="1362" spans="14:14">
      <c r="N1362" s="62"/>
    </row>
    <row r="1363" spans="14:14">
      <c r="N1363" s="62"/>
    </row>
    <row r="1364" spans="14:14">
      <c r="N1364" s="62"/>
    </row>
    <row r="1365" spans="14:14">
      <c r="N1365" s="62"/>
    </row>
    <row r="1366" spans="14:14">
      <c r="N1366" s="62"/>
    </row>
    <row r="1367" spans="14:14">
      <c r="N1367" s="62"/>
    </row>
    <row r="1368" spans="14:14">
      <c r="N1368" s="62"/>
    </row>
    <row r="1369" spans="14:14">
      <c r="N1369" s="62"/>
    </row>
    <row r="1370" spans="14:14">
      <c r="N1370" s="62"/>
    </row>
    <row r="1371" spans="14:14">
      <c r="N1371" s="62"/>
    </row>
    <row r="1372" spans="14:14">
      <c r="N1372" s="62"/>
    </row>
    <row r="1373" spans="14:14">
      <c r="N1373" s="62"/>
    </row>
    <row r="1374" spans="14:14">
      <c r="N1374" s="62"/>
    </row>
    <row r="1375" spans="14:14">
      <c r="N1375" s="62"/>
    </row>
    <row r="1376" spans="14:14">
      <c r="N1376" s="62"/>
    </row>
    <row r="1377" spans="14:14">
      <c r="N1377" s="62"/>
    </row>
    <row r="1378" spans="14:14">
      <c r="N1378" s="62"/>
    </row>
    <row r="1379" spans="14:14">
      <c r="N1379" s="62"/>
    </row>
    <row r="1380" spans="14:14">
      <c r="N1380" s="62"/>
    </row>
    <row r="1381" spans="14:14">
      <c r="N1381" s="62"/>
    </row>
    <row r="1382" spans="14:14">
      <c r="N1382" s="62"/>
    </row>
    <row r="1383" spans="14:14">
      <c r="N1383" s="62"/>
    </row>
    <row r="1384" spans="14:14">
      <c r="N1384" s="62"/>
    </row>
    <row r="1385" spans="14:14">
      <c r="N1385" s="62"/>
    </row>
    <row r="1386" spans="14:14">
      <c r="N1386" s="62"/>
    </row>
    <row r="1387" spans="14:14">
      <c r="N1387" s="62"/>
    </row>
    <row r="1388" spans="14:14">
      <c r="N1388" s="62"/>
    </row>
    <row r="1389" spans="14:14">
      <c r="N1389" s="62"/>
    </row>
    <row r="1390" spans="14:14">
      <c r="N1390" s="62"/>
    </row>
    <row r="1391" spans="14:14">
      <c r="N1391" s="62"/>
    </row>
    <row r="1392" spans="14:14">
      <c r="N1392" s="62"/>
    </row>
    <row r="1393" spans="14:14">
      <c r="N1393" s="62"/>
    </row>
    <row r="1394" spans="14:14">
      <c r="N1394" s="62"/>
    </row>
    <row r="1395" spans="14:14">
      <c r="N1395" s="62"/>
    </row>
    <row r="1396" spans="14:14">
      <c r="N1396" s="62"/>
    </row>
    <row r="1397" spans="14:14">
      <c r="N1397" s="62"/>
    </row>
    <row r="1398" spans="14:14">
      <c r="N1398" s="62"/>
    </row>
    <row r="1399" spans="14:14">
      <c r="N1399" s="62"/>
    </row>
    <row r="1400" spans="14:14">
      <c r="N1400" s="62"/>
    </row>
    <row r="1401" spans="14:14">
      <c r="N1401" s="62"/>
    </row>
    <row r="1402" spans="14:14">
      <c r="N1402" s="62"/>
    </row>
    <row r="1403" spans="14:14">
      <c r="N1403" s="62"/>
    </row>
    <row r="1404" spans="14:14">
      <c r="N1404" s="62"/>
    </row>
    <row r="1405" spans="14:14">
      <c r="N1405" s="62"/>
    </row>
    <row r="1406" spans="14:14">
      <c r="N1406" s="62"/>
    </row>
    <row r="1407" spans="14:14">
      <c r="N1407" s="62"/>
    </row>
    <row r="1408" spans="14:14">
      <c r="N1408" s="62"/>
    </row>
    <row r="1409" spans="14:14">
      <c r="N1409" s="62"/>
    </row>
    <row r="1410" spans="14:14">
      <c r="N1410" s="62"/>
    </row>
    <row r="1411" spans="14:14">
      <c r="N1411" s="62"/>
    </row>
    <row r="1412" spans="14:14">
      <c r="N1412" s="62"/>
    </row>
    <row r="1413" spans="14:14">
      <c r="N1413" s="62"/>
    </row>
    <row r="1414" spans="14:14">
      <c r="N1414" s="62"/>
    </row>
    <row r="1415" spans="14:14">
      <c r="N1415" s="62"/>
    </row>
    <row r="1416" spans="14:14">
      <c r="N1416" s="62"/>
    </row>
    <row r="1417" spans="14:14">
      <c r="N1417" s="62"/>
    </row>
    <row r="1418" spans="14:14">
      <c r="N1418" s="62"/>
    </row>
    <row r="1419" spans="14:14">
      <c r="N1419" s="62"/>
    </row>
    <row r="1420" spans="14:14">
      <c r="N1420" s="62"/>
    </row>
    <row r="1421" spans="14:14">
      <c r="N1421" s="62"/>
    </row>
    <row r="1422" spans="14:14">
      <c r="N1422" s="62"/>
    </row>
    <row r="1423" spans="14:14">
      <c r="N1423" s="62"/>
    </row>
    <row r="1424" spans="14:14">
      <c r="N1424" s="62"/>
    </row>
    <row r="1425" spans="14:14">
      <c r="N1425" s="62"/>
    </row>
    <row r="1426" spans="14:14">
      <c r="N1426" s="62"/>
    </row>
    <row r="1427" spans="14:14">
      <c r="N1427" s="62"/>
    </row>
    <row r="1428" spans="14:14">
      <c r="N1428" s="62"/>
    </row>
    <row r="1429" spans="14:14">
      <c r="N1429" s="62"/>
    </row>
    <row r="1430" spans="14:14">
      <c r="N1430" s="62"/>
    </row>
    <row r="1431" spans="14:14">
      <c r="N1431" s="62"/>
    </row>
    <row r="1432" spans="14:14">
      <c r="N1432" s="62"/>
    </row>
    <row r="1433" spans="14:14">
      <c r="N1433" s="62"/>
    </row>
    <row r="1434" spans="14:14">
      <c r="N1434" s="62"/>
    </row>
    <row r="1435" spans="14:14">
      <c r="N1435" s="62"/>
    </row>
    <row r="1436" spans="14:14">
      <c r="N1436" s="62"/>
    </row>
    <row r="1437" spans="14:14">
      <c r="N1437" s="62"/>
    </row>
    <row r="1438" spans="14:14">
      <c r="N1438" s="62"/>
    </row>
    <row r="1439" spans="14:14">
      <c r="N1439" s="62"/>
    </row>
    <row r="1440" spans="14:14">
      <c r="N1440" s="62"/>
    </row>
    <row r="1441" spans="14:14">
      <c r="N1441" s="62"/>
    </row>
    <row r="1442" spans="14:14">
      <c r="N1442" s="62"/>
    </row>
    <row r="1443" spans="14:14">
      <c r="N1443" s="62"/>
    </row>
    <row r="1444" spans="14:14">
      <c r="N1444" s="62"/>
    </row>
    <row r="1445" spans="14:14">
      <c r="N1445" s="62"/>
    </row>
    <row r="1446" spans="14:14">
      <c r="N1446" s="62"/>
    </row>
    <row r="1447" spans="14:14">
      <c r="N1447" s="62"/>
    </row>
    <row r="1448" spans="14:14">
      <c r="N1448" s="62"/>
    </row>
    <row r="1449" spans="14:14">
      <c r="N1449" s="62"/>
    </row>
    <row r="1450" spans="14:14">
      <c r="N1450" s="62"/>
    </row>
    <row r="1451" spans="14:14">
      <c r="N1451" s="62"/>
    </row>
    <row r="1452" spans="14:14">
      <c r="N1452" s="62"/>
    </row>
    <row r="1453" spans="14:14">
      <c r="N1453" s="62"/>
    </row>
    <row r="1454" spans="14:14">
      <c r="N1454" s="62"/>
    </row>
    <row r="1455" spans="14:14">
      <c r="N1455" s="62"/>
    </row>
    <row r="1456" spans="14:14">
      <c r="N1456" s="62"/>
    </row>
    <row r="1457" spans="14:14">
      <c r="N1457" s="62"/>
    </row>
    <row r="1458" spans="14:14">
      <c r="N1458" s="62"/>
    </row>
    <row r="1459" spans="14:14">
      <c r="N1459" s="62"/>
    </row>
    <row r="1460" spans="14:14">
      <c r="N1460" s="62"/>
    </row>
    <row r="1461" spans="14:14">
      <c r="N1461" s="62"/>
    </row>
    <row r="1462" spans="14:14">
      <c r="N1462" s="62"/>
    </row>
    <row r="1463" spans="14:14">
      <c r="N1463" s="62"/>
    </row>
    <row r="1464" spans="14:14">
      <c r="N1464" s="62"/>
    </row>
    <row r="1465" spans="14:14">
      <c r="N1465" s="62"/>
    </row>
    <row r="1466" spans="14:14">
      <c r="N1466" s="62"/>
    </row>
    <row r="1467" spans="14:14">
      <c r="N1467" s="62"/>
    </row>
    <row r="1468" spans="14:14">
      <c r="N1468" s="62"/>
    </row>
    <row r="1469" spans="14:14">
      <c r="N1469" s="62"/>
    </row>
    <row r="1470" spans="14:14">
      <c r="N1470" s="62"/>
    </row>
    <row r="1471" spans="14:14">
      <c r="N1471" s="62"/>
    </row>
    <row r="1472" spans="14:14">
      <c r="N1472" s="62"/>
    </row>
    <row r="1473" spans="14:14">
      <c r="N1473" s="62"/>
    </row>
    <row r="1474" spans="14:14">
      <c r="N1474" s="62"/>
    </row>
    <row r="1475" spans="14:14">
      <c r="N1475" s="62"/>
    </row>
    <row r="1476" spans="14:14">
      <c r="N1476" s="62"/>
    </row>
    <row r="1477" spans="14:14">
      <c r="N1477" s="62"/>
    </row>
    <row r="1478" spans="14:14">
      <c r="N1478" s="62"/>
    </row>
    <row r="1479" spans="14:14">
      <c r="N1479" s="62"/>
    </row>
    <row r="1480" spans="14:14">
      <c r="N1480" s="62"/>
    </row>
    <row r="1481" spans="14:14">
      <c r="N1481" s="62"/>
    </row>
    <row r="1482" spans="14:14">
      <c r="N1482" s="62"/>
    </row>
    <row r="1483" spans="14:14">
      <c r="N1483" s="62"/>
    </row>
    <row r="1484" spans="14:14">
      <c r="N1484" s="62"/>
    </row>
    <row r="1485" spans="14:14">
      <c r="N1485" s="62"/>
    </row>
    <row r="1486" spans="14:14">
      <c r="N1486" s="62"/>
    </row>
    <row r="1487" spans="14:14">
      <c r="N1487" s="62"/>
    </row>
    <row r="1488" spans="14:14">
      <c r="N1488" s="62"/>
    </row>
    <row r="1489" spans="14:14">
      <c r="N1489" s="62"/>
    </row>
    <row r="1490" spans="14:14">
      <c r="N1490" s="62"/>
    </row>
    <row r="1491" spans="14:14">
      <c r="N1491" s="62"/>
    </row>
    <row r="1492" spans="14:14">
      <c r="N1492" s="62"/>
    </row>
    <row r="1493" spans="14:14">
      <c r="N1493" s="62"/>
    </row>
    <row r="1494" spans="14:14">
      <c r="N1494" s="62"/>
    </row>
    <row r="1495" spans="14:14">
      <c r="N1495" s="62"/>
    </row>
    <row r="1496" spans="14:14">
      <c r="N1496" s="62"/>
    </row>
    <row r="1497" spans="14:14">
      <c r="N1497" s="62"/>
    </row>
    <row r="1498" spans="14:14">
      <c r="N1498" s="62"/>
    </row>
    <row r="1499" spans="14:14">
      <c r="N1499" s="62"/>
    </row>
    <row r="1500" spans="14:14">
      <c r="N1500" s="62"/>
    </row>
    <row r="1501" spans="14:14">
      <c r="N1501" s="62"/>
    </row>
    <row r="1502" spans="14:14">
      <c r="N1502" s="62"/>
    </row>
    <row r="1503" spans="14:14">
      <c r="N1503" s="62"/>
    </row>
    <row r="1504" spans="14:14">
      <c r="N1504" s="62"/>
    </row>
    <row r="1505" spans="14:14">
      <c r="N1505" s="62"/>
    </row>
    <row r="1506" spans="14:14">
      <c r="N1506" s="62"/>
    </row>
    <row r="1507" spans="14:14">
      <c r="N1507" s="62"/>
    </row>
    <row r="1508" spans="14:14">
      <c r="N1508" s="62"/>
    </row>
    <row r="1509" spans="14:14">
      <c r="N1509" s="62"/>
    </row>
    <row r="1510" spans="14:14">
      <c r="N1510" s="62"/>
    </row>
    <row r="1511" spans="14:14">
      <c r="N1511" s="62"/>
    </row>
    <row r="1512" spans="14:14">
      <c r="N1512" s="62"/>
    </row>
    <row r="1513" spans="14:14">
      <c r="N1513" s="62"/>
    </row>
    <row r="1514" spans="14:14">
      <c r="N1514" s="62"/>
    </row>
    <row r="1515" spans="14:14">
      <c r="N1515" s="62"/>
    </row>
    <row r="1516" spans="14:14">
      <c r="N1516" s="62"/>
    </row>
    <row r="1517" spans="14:14">
      <c r="N1517" s="62"/>
    </row>
    <row r="1518" spans="14:14">
      <c r="N1518" s="62"/>
    </row>
    <row r="1519" spans="14:14">
      <c r="N1519" s="62"/>
    </row>
    <row r="1520" spans="14:14">
      <c r="N1520" s="62"/>
    </row>
    <row r="1521" spans="14:14">
      <c r="N1521" s="62"/>
    </row>
    <row r="1522" spans="14:14">
      <c r="N1522" s="62"/>
    </row>
    <row r="1523" spans="14:14">
      <c r="N1523" s="62"/>
    </row>
    <row r="1524" spans="14:14">
      <c r="N1524" s="62"/>
    </row>
    <row r="1525" spans="14:14">
      <c r="N1525" s="62"/>
    </row>
    <row r="1526" spans="14:14">
      <c r="N1526" s="62"/>
    </row>
    <row r="1527" spans="14:14">
      <c r="N1527" s="62"/>
    </row>
    <row r="1528" spans="14:14">
      <c r="N1528" s="62"/>
    </row>
    <row r="1529" spans="14:14">
      <c r="N1529" s="62"/>
    </row>
    <row r="1530" spans="14:14">
      <c r="N1530" s="62"/>
    </row>
    <row r="1531" spans="14:14">
      <c r="N1531" s="62"/>
    </row>
    <row r="1532" spans="14:14">
      <c r="N1532" s="62"/>
    </row>
    <row r="1533" spans="14:14">
      <c r="N1533" s="62"/>
    </row>
    <row r="1534" spans="14:14">
      <c r="N1534" s="62"/>
    </row>
    <row r="1535" spans="14:14">
      <c r="N1535" s="62"/>
    </row>
    <row r="1536" spans="14:14">
      <c r="N1536" s="62"/>
    </row>
    <row r="1537" spans="14:14">
      <c r="N1537" s="62"/>
    </row>
    <row r="1538" spans="14:14">
      <c r="N1538" s="62"/>
    </row>
    <row r="1539" spans="14:14">
      <c r="N1539" s="62"/>
    </row>
    <row r="1540" spans="14:14">
      <c r="N1540" s="62"/>
    </row>
    <row r="1541" spans="14:14">
      <c r="N1541" s="62"/>
    </row>
    <row r="1542" spans="14:14">
      <c r="N1542" s="62"/>
    </row>
    <row r="1543" spans="14:14">
      <c r="N1543" s="62"/>
    </row>
    <row r="1544" spans="14:14">
      <c r="N1544" s="62"/>
    </row>
    <row r="1545" spans="14:14">
      <c r="N1545" s="62"/>
    </row>
    <row r="1546" spans="14:14">
      <c r="N1546" s="62"/>
    </row>
    <row r="1547" spans="14:14">
      <c r="N1547" s="62"/>
    </row>
    <row r="1548" spans="14:14">
      <c r="N1548" s="62"/>
    </row>
    <row r="1549" spans="14:14">
      <c r="N1549" s="62"/>
    </row>
    <row r="1550" spans="14:14">
      <c r="N1550" s="62"/>
    </row>
    <row r="1551" spans="14:14">
      <c r="N1551" s="62"/>
    </row>
    <row r="1552" spans="14:14">
      <c r="N1552" s="62"/>
    </row>
    <row r="1553" spans="14:14">
      <c r="N1553" s="62"/>
    </row>
    <row r="1554" spans="14:14">
      <c r="N1554" s="62"/>
    </row>
    <row r="1555" spans="14:14">
      <c r="N1555" s="62"/>
    </row>
    <row r="1556" spans="14:14">
      <c r="N1556" s="62"/>
    </row>
    <row r="1557" spans="14:14">
      <c r="N1557" s="62"/>
    </row>
    <row r="1558" spans="14:14">
      <c r="N1558" s="62"/>
    </row>
    <row r="1559" spans="14:14">
      <c r="N1559" s="62"/>
    </row>
    <row r="1560" spans="14:14">
      <c r="N1560" s="62"/>
    </row>
    <row r="1561" spans="14:14">
      <c r="N1561" s="62"/>
    </row>
    <row r="1562" spans="14:14">
      <c r="N1562" s="62"/>
    </row>
    <row r="1563" spans="14:14">
      <c r="N1563" s="62"/>
    </row>
    <row r="1564" spans="14:14">
      <c r="N1564" s="62"/>
    </row>
    <row r="1565" spans="14:14">
      <c r="N1565" s="62"/>
    </row>
    <row r="1566" spans="14:14">
      <c r="N1566" s="62"/>
    </row>
    <row r="1567" spans="14:14">
      <c r="N1567" s="62"/>
    </row>
    <row r="1568" spans="14:14">
      <c r="N1568" s="62"/>
    </row>
    <row r="1569" spans="14:14">
      <c r="N1569" s="62"/>
    </row>
    <row r="1570" spans="14:14">
      <c r="N1570" s="62"/>
    </row>
    <row r="1571" spans="14:14">
      <c r="N1571" s="62"/>
    </row>
    <row r="1572" spans="14:14">
      <c r="N1572" s="62"/>
    </row>
    <row r="1573" spans="14:14">
      <c r="N1573" s="62"/>
    </row>
    <row r="1574" spans="14:14">
      <c r="N1574" s="62"/>
    </row>
    <row r="1575" spans="14:14">
      <c r="N1575" s="62"/>
    </row>
    <row r="1576" spans="14:14">
      <c r="N1576" s="62"/>
    </row>
    <row r="1577" spans="14:14">
      <c r="N1577" s="62"/>
    </row>
    <row r="1578" spans="14:14">
      <c r="N1578" s="62"/>
    </row>
    <row r="1579" spans="14:14">
      <c r="N1579" s="62"/>
    </row>
    <row r="1580" spans="14:14">
      <c r="N1580" s="62"/>
    </row>
    <row r="1581" spans="14:14">
      <c r="N1581" s="62"/>
    </row>
    <row r="1582" spans="14:14">
      <c r="N1582" s="62"/>
    </row>
    <row r="1583" spans="14:14">
      <c r="N1583" s="62"/>
    </row>
    <row r="1584" spans="14:14">
      <c r="N1584" s="62"/>
    </row>
    <row r="1585" spans="14:14">
      <c r="N1585" s="62"/>
    </row>
    <row r="1586" spans="14:14">
      <c r="N1586" s="62"/>
    </row>
    <row r="1587" spans="14:14">
      <c r="N1587" s="62"/>
    </row>
    <row r="1588" spans="14:14">
      <c r="N1588" s="62"/>
    </row>
    <row r="1589" spans="14:14">
      <c r="N1589" s="62"/>
    </row>
    <row r="1590" spans="14:14">
      <c r="N1590" s="62"/>
    </row>
    <row r="1591" spans="14:14">
      <c r="N1591" s="62"/>
    </row>
    <row r="1592" spans="14:14">
      <c r="N1592" s="62"/>
    </row>
    <row r="1593" spans="14:14">
      <c r="N1593" s="62"/>
    </row>
    <row r="1594" spans="14:14">
      <c r="N1594" s="62"/>
    </row>
    <row r="1595" spans="14:14">
      <c r="N1595" s="62"/>
    </row>
    <row r="1596" spans="14:14">
      <c r="N1596" s="62"/>
    </row>
    <row r="1597" spans="14:14">
      <c r="N1597" s="62"/>
    </row>
    <row r="1598" spans="14:14">
      <c r="N1598" s="62"/>
    </row>
    <row r="1599" spans="14:14">
      <c r="N1599" s="62"/>
    </row>
    <row r="1600" spans="14:14">
      <c r="N1600" s="62"/>
    </row>
    <row r="1601" spans="14:14">
      <c r="N1601" s="62"/>
    </row>
    <row r="1602" spans="14:14">
      <c r="N1602" s="62"/>
    </row>
    <row r="1603" spans="14:14">
      <c r="N1603" s="62"/>
    </row>
    <row r="1604" spans="14:14">
      <c r="N1604" s="62"/>
    </row>
    <row r="1605" spans="14:14">
      <c r="N1605" s="62"/>
    </row>
    <row r="1606" spans="14:14">
      <c r="N1606" s="62"/>
    </row>
    <row r="1607" spans="14:14">
      <c r="N1607" s="62"/>
    </row>
    <row r="1608" spans="14:14">
      <c r="N1608" s="62"/>
    </row>
    <row r="1609" spans="14:14">
      <c r="N1609" s="62"/>
    </row>
    <row r="1610" spans="14:14">
      <c r="N1610" s="62"/>
    </row>
    <row r="1611" spans="14:14">
      <c r="N1611" s="62"/>
    </row>
    <row r="1612" spans="14:14">
      <c r="N1612" s="62"/>
    </row>
    <row r="1613" spans="14:14">
      <c r="N1613" s="62"/>
    </row>
    <row r="1614" spans="14:14">
      <c r="N1614" s="62"/>
    </row>
    <row r="1615" spans="14:14">
      <c r="N1615" s="62"/>
    </row>
    <row r="1616" spans="14:14">
      <c r="N1616" s="62"/>
    </row>
    <row r="1617" spans="14:14">
      <c r="N1617" s="62"/>
    </row>
    <row r="1618" spans="14:14">
      <c r="N1618" s="62"/>
    </row>
    <row r="1619" spans="14:14">
      <c r="N1619" s="62"/>
    </row>
    <row r="1620" spans="14:14">
      <c r="N1620" s="62"/>
    </row>
    <row r="1621" spans="14:14">
      <c r="N1621" s="62"/>
    </row>
    <row r="1622" spans="14:14">
      <c r="N1622" s="62"/>
    </row>
    <row r="1623" spans="14:14">
      <c r="N1623" s="62"/>
    </row>
    <row r="1624" spans="14:14">
      <c r="N1624" s="62"/>
    </row>
    <row r="1625" spans="14:14">
      <c r="N1625" s="62"/>
    </row>
    <row r="1626" spans="14:14">
      <c r="N1626" s="62"/>
    </row>
    <row r="1627" spans="14:14">
      <c r="N1627" s="62"/>
    </row>
    <row r="1628" spans="14:14">
      <c r="N1628" s="62"/>
    </row>
    <row r="1629" spans="14:14">
      <c r="N1629" s="62"/>
    </row>
    <row r="1630" spans="14:14">
      <c r="N1630" s="62"/>
    </row>
    <row r="1631" spans="14:14">
      <c r="N1631" s="62"/>
    </row>
    <row r="1632" spans="14:14">
      <c r="N1632" s="62"/>
    </row>
    <row r="1633" spans="14:14">
      <c r="N1633" s="62"/>
    </row>
    <row r="1634" spans="14:14">
      <c r="N1634" s="62"/>
    </row>
    <row r="1635" spans="14:14">
      <c r="N1635" s="62"/>
    </row>
    <row r="1636" spans="14:14">
      <c r="N1636" s="62"/>
    </row>
    <row r="1637" spans="14:14">
      <c r="N1637" s="62"/>
    </row>
    <row r="1638" spans="14:14">
      <c r="N1638" s="62"/>
    </row>
    <row r="1639" spans="14:14">
      <c r="N1639" s="62"/>
    </row>
    <row r="1640" spans="14:14">
      <c r="N1640" s="62"/>
    </row>
    <row r="1641" spans="14:14">
      <c r="N1641" s="62"/>
    </row>
    <row r="1642" spans="14:14">
      <c r="N1642" s="62"/>
    </row>
    <row r="1643" spans="14:14">
      <c r="N1643" s="62"/>
    </row>
    <row r="1644" spans="14:14">
      <c r="N1644" s="62"/>
    </row>
    <row r="1645" spans="14:14">
      <c r="N1645" s="62"/>
    </row>
    <row r="1646" spans="14:14">
      <c r="N1646" s="62"/>
    </row>
    <row r="1647" spans="14:14">
      <c r="N1647" s="62"/>
    </row>
    <row r="1648" spans="14:14">
      <c r="N1648" s="62"/>
    </row>
    <row r="1649" spans="14:14">
      <c r="N1649" s="62"/>
    </row>
    <row r="1650" spans="14:14">
      <c r="N1650" s="62"/>
    </row>
    <row r="1651" spans="14:14">
      <c r="N1651" s="62"/>
    </row>
    <row r="1652" spans="14:14">
      <c r="N1652" s="62"/>
    </row>
    <row r="1653" spans="14:14">
      <c r="N1653" s="62"/>
    </row>
    <row r="1654" spans="14:14">
      <c r="N1654" s="62"/>
    </row>
    <row r="1655" spans="14:14">
      <c r="N1655" s="62"/>
    </row>
    <row r="1656" spans="14:14">
      <c r="N1656" s="62"/>
    </row>
    <row r="1657" spans="14:14">
      <c r="N1657" s="62"/>
    </row>
    <row r="1658" spans="14:14">
      <c r="N1658" s="62"/>
    </row>
    <row r="1659" spans="14:14">
      <c r="N1659" s="62"/>
    </row>
    <row r="1660" spans="14:14">
      <c r="N1660" s="62"/>
    </row>
    <row r="1661" spans="14:14">
      <c r="N1661" s="62"/>
    </row>
    <row r="1662" spans="14:14">
      <c r="N1662" s="62"/>
    </row>
    <row r="1663" spans="14:14">
      <c r="N1663" s="62"/>
    </row>
    <row r="1664" spans="14:14">
      <c r="N1664" s="62"/>
    </row>
    <row r="1665" spans="14:14">
      <c r="N1665" s="62"/>
    </row>
    <row r="1666" spans="14:14">
      <c r="N1666" s="62"/>
    </row>
    <row r="1667" spans="14:14">
      <c r="N1667" s="62"/>
    </row>
    <row r="1668" spans="14:14">
      <c r="N1668" s="62"/>
    </row>
    <row r="1669" spans="14:14">
      <c r="N1669" s="62"/>
    </row>
    <row r="1670" spans="14:14">
      <c r="N1670" s="62"/>
    </row>
    <row r="1671" spans="14:14">
      <c r="N1671" s="62"/>
    </row>
    <row r="1672" spans="14:14">
      <c r="N1672" s="62"/>
    </row>
    <row r="1673" spans="14:14">
      <c r="N1673" s="62"/>
    </row>
    <row r="1674" spans="14:14">
      <c r="N1674" s="62"/>
    </row>
    <row r="1675" spans="14:14">
      <c r="N1675" s="62"/>
    </row>
    <row r="1676" spans="14:14">
      <c r="N1676" s="62"/>
    </row>
    <row r="1677" spans="14:14">
      <c r="N1677" s="62"/>
    </row>
    <row r="1678" spans="14:14">
      <c r="N1678" s="62"/>
    </row>
    <row r="1679" spans="14:14">
      <c r="N1679" s="62"/>
    </row>
    <row r="1680" spans="14:14">
      <c r="N1680" s="62"/>
    </row>
    <row r="1681" spans="14:14">
      <c r="N1681" s="62"/>
    </row>
    <row r="1682" spans="14:14">
      <c r="N1682" s="62"/>
    </row>
    <row r="1683" spans="14:14">
      <c r="N1683" s="62"/>
    </row>
    <row r="1684" spans="14:14">
      <c r="N1684" s="62"/>
    </row>
    <row r="1685" spans="14:14">
      <c r="N1685" s="62"/>
    </row>
    <row r="1686" spans="14:14">
      <c r="N1686" s="62"/>
    </row>
    <row r="1687" spans="14:14">
      <c r="N1687" s="62"/>
    </row>
    <row r="1688" spans="14:14">
      <c r="N1688" s="62"/>
    </row>
    <row r="1689" spans="14:14">
      <c r="N1689" s="62"/>
    </row>
    <row r="1690" spans="14:14">
      <c r="N1690" s="62"/>
    </row>
    <row r="1691" spans="14:14">
      <c r="N1691" s="62"/>
    </row>
    <row r="1692" spans="14:14">
      <c r="N1692" s="62"/>
    </row>
    <row r="1693" spans="14:14">
      <c r="N1693" s="62"/>
    </row>
    <row r="1694" spans="14:14">
      <c r="N1694" s="62"/>
    </row>
    <row r="1695" spans="14:14">
      <c r="N1695" s="62"/>
    </row>
    <row r="1696" spans="14:14">
      <c r="N1696" s="62"/>
    </row>
    <row r="1697" spans="14:14">
      <c r="N1697" s="62"/>
    </row>
    <row r="1698" spans="14:14">
      <c r="N1698" s="62"/>
    </row>
    <row r="1699" spans="14:14">
      <c r="N1699" s="62"/>
    </row>
    <row r="1700" spans="14:14">
      <c r="N1700" s="62"/>
    </row>
    <row r="1701" spans="14:14">
      <c r="N1701" s="62"/>
    </row>
    <row r="1702" spans="14:14">
      <c r="N1702" s="62"/>
    </row>
    <row r="1703" spans="14:14">
      <c r="N1703" s="62"/>
    </row>
    <row r="1704" spans="14:14">
      <c r="N1704" s="62"/>
    </row>
    <row r="1705" spans="14:14">
      <c r="N1705" s="62"/>
    </row>
    <row r="1706" spans="14:14">
      <c r="N1706" s="62"/>
    </row>
    <row r="1707" spans="14:14">
      <c r="N1707" s="62"/>
    </row>
    <row r="1708" spans="14:14">
      <c r="N1708" s="62"/>
    </row>
    <row r="1709" spans="14:14">
      <c r="N1709" s="62"/>
    </row>
    <row r="1710" spans="14:14">
      <c r="N1710" s="62"/>
    </row>
    <row r="1711" spans="14:14">
      <c r="N1711" s="62"/>
    </row>
    <row r="1712" spans="14:14">
      <c r="N1712" s="62"/>
    </row>
    <row r="1713" spans="14:14">
      <c r="N1713" s="62"/>
    </row>
    <row r="1714" spans="14:14">
      <c r="N1714" s="62"/>
    </row>
    <row r="1715" spans="14:14">
      <c r="N1715" s="62"/>
    </row>
    <row r="1716" spans="14:14">
      <c r="N1716" s="62"/>
    </row>
    <row r="1717" spans="14:14">
      <c r="N1717" s="62"/>
    </row>
    <row r="1718" spans="14:14">
      <c r="N1718" s="62"/>
    </row>
    <row r="1719" spans="14:14">
      <c r="N1719" s="62"/>
    </row>
    <row r="1720" spans="14:14">
      <c r="N1720" s="62"/>
    </row>
    <row r="1721" spans="14:14">
      <c r="N1721" s="62"/>
    </row>
    <row r="1722" spans="14:14">
      <c r="N1722" s="62"/>
    </row>
    <row r="1723" spans="14:14">
      <c r="N1723" s="62"/>
    </row>
    <row r="1724" spans="14:14">
      <c r="N1724" s="62"/>
    </row>
    <row r="1725" spans="14:14">
      <c r="N1725" s="62"/>
    </row>
    <row r="1726" spans="14:14">
      <c r="N1726" s="62"/>
    </row>
    <row r="1727" spans="14:14">
      <c r="N1727" s="62"/>
    </row>
    <row r="1728" spans="14:14">
      <c r="N1728" s="62"/>
    </row>
    <row r="1729" spans="14:14">
      <c r="N1729" s="62"/>
    </row>
    <row r="1730" spans="14:14">
      <c r="N1730" s="62"/>
    </row>
    <row r="1731" spans="14:14">
      <c r="N1731" s="62"/>
    </row>
    <row r="1732" spans="14:14">
      <c r="N1732" s="62"/>
    </row>
    <row r="1733" spans="14:14">
      <c r="N1733" s="62"/>
    </row>
    <row r="1734" spans="14:14">
      <c r="N1734" s="62"/>
    </row>
    <row r="1735" spans="14:14">
      <c r="N1735" s="62"/>
    </row>
    <row r="1736" spans="14:14">
      <c r="N1736" s="62"/>
    </row>
    <row r="1737" spans="14:14">
      <c r="N1737" s="62"/>
    </row>
    <row r="1738" spans="14:14">
      <c r="N1738" s="62"/>
    </row>
    <row r="1739" spans="14:14">
      <c r="N1739" s="62"/>
    </row>
    <row r="1740" spans="14:14">
      <c r="N1740" s="62"/>
    </row>
    <row r="1741" spans="14:14">
      <c r="N1741" s="62"/>
    </row>
    <row r="1742" spans="14:14">
      <c r="N1742" s="62"/>
    </row>
    <row r="1743" spans="14:14">
      <c r="N1743" s="62"/>
    </row>
    <row r="1744" spans="14:14">
      <c r="N1744" s="62"/>
    </row>
    <row r="1745" spans="14:14">
      <c r="N1745" s="62"/>
    </row>
    <row r="1746" spans="14:14">
      <c r="N1746" s="62"/>
    </row>
    <row r="1747" spans="14:14">
      <c r="N1747" s="62"/>
    </row>
    <row r="1748" spans="14:14">
      <c r="N1748" s="62"/>
    </row>
    <row r="1749" spans="14:14">
      <c r="N1749" s="62"/>
    </row>
    <row r="1750" spans="14:14">
      <c r="N1750" s="62"/>
    </row>
    <row r="1751" spans="14:14">
      <c r="N1751" s="62"/>
    </row>
    <row r="1752" spans="14:14">
      <c r="N1752" s="62"/>
    </row>
    <row r="1753" spans="14:14">
      <c r="N1753" s="62"/>
    </row>
    <row r="1754" spans="14:14">
      <c r="N1754" s="62"/>
    </row>
    <row r="1755" spans="14:14">
      <c r="N1755" s="62"/>
    </row>
    <row r="1756" spans="14:14">
      <c r="N1756" s="62"/>
    </row>
    <row r="1757" spans="14:14">
      <c r="N1757" s="62"/>
    </row>
    <row r="1758" spans="14:14">
      <c r="N1758" s="62"/>
    </row>
    <row r="1759" spans="14:14">
      <c r="N1759" s="62"/>
    </row>
    <row r="1760" spans="14:14">
      <c r="N1760" s="62"/>
    </row>
    <row r="1761" spans="14:14">
      <c r="N1761" s="62"/>
    </row>
    <row r="1762" spans="14:14">
      <c r="N1762" s="62"/>
    </row>
    <row r="1763" spans="14:14">
      <c r="N1763" s="62"/>
    </row>
    <row r="1764" spans="14:14">
      <c r="N1764" s="62"/>
    </row>
    <row r="1765" spans="14:14">
      <c r="N1765" s="62"/>
    </row>
    <row r="1766" spans="14:14">
      <c r="N1766" s="62"/>
    </row>
    <row r="1767" spans="14:14">
      <c r="N1767" s="62"/>
    </row>
    <row r="1768" spans="14:14">
      <c r="N1768" s="62"/>
    </row>
    <row r="1769" spans="14:14">
      <c r="N1769" s="62"/>
    </row>
    <row r="1770" spans="14:14">
      <c r="N1770" s="62"/>
    </row>
    <row r="1771" spans="14:14">
      <c r="N1771" s="62"/>
    </row>
    <row r="1772" spans="14:14">
      <c r="N1772" s="62"/>
    </row>
    <row r="1773" spans="14:14">
      <c r="N1773" s="62"/>
    </row>
    <row r="1774" spans="14:14">
      <c r="N1774" s="62"/>
    </row>
    <row r="1775" spans="14:14">
      <c r="N1775" s="62"/>
    </row>
    <row r="1776" spans="14:14">
      <c r="N1776" s="62"/>
    </row>
    <row r="1777" spans="14:14">
      <c r="N1777" s="62"/>
    </row>
    <row r="1778" spans="14:14">
      <c r="N1778" s="62"/>
    </row>
    <row r="1779" spans="14:14">
      <c r="N1779" s="62"/>
    </row>
    <row r="1780" spans="14:14">
      <c r="N1780" s="62"/>
    </row>
    <row r="1781" spans="14:14">
      <c r="N1781" s="62"/>
    </row>
    <row r="1782" spans="14:14">
      <c r="N1782" s="62"/>
    </row>
    <row r="1783" spans="14:14">
      <c r="N1783" s="62"/>
    </row>
    <row r="1784" spans="14:14">
      <c r="N1784" s="62"/>
    </row>
    <row r="1785" spans="14:14">
      <c r="N1785" s="62"/>
    </row>
    <row r="1786" spans="14:14">
      <c r="N1786" s="62"/>
    </row>
    <row r="1787" spans="14:14">
      <c r="N1787" s="62"/>
    </row>
    <row r="1788" spans="14:14">
      <c r="N1788" s="62"/>
    </row>
    <row r="1789" spans="14:14">
      <c r="N1789" s="62"/>
    </row>
    <row r="1790" spans="14:14">
      <c r="N1790" s="62"/>
    </row>
    <row r="1791" spans="14:14">
      <c r="N1791" s="62"/>
    </row>
    <row r="1792" spans="14:14">
      <c r="N1792" s="62"/>
    </row>
    <row r="1793" spans="14:14">
      <c r="N1793" s="62"/>
    </row>
    <row r="1794" spans="14:14">
      <c r="N1794" s="62"/>
    </row>
    <row r="1795" spans="14:14">
      <c r="N1795" s="62"/>
    </row>
    <row r="1796" spans="14:14">
      <c r="N1796" s="62"/>
    </row>
    <row r="1797" spans="14:14">
      <c r="N1797" s="62"/>
    </row>
    <row r="1798" spans="14:14">
      <c r="N1798" s="62"/>
    </row>
    <row r="1799" spans="14:14">
      <c r="N1799" s="62"/>
    </row>
    <row r="1800" spans="14:14">
      <c r="N1800" s="62"/>
    </row>
    <row r="1801" spans="14:14">
      <c r="N1801" s="62"/>
    </row>
    <row r="1802" spans="14:14">
      <c r="N1802" s="62"/>
    </row>
    <row r="1803" spans="14:14">
      <c r="N1803" s="62"/>
    </row>
    <row r="1804" spans="14:14">
      <c r="N1804" s="62"/>
    </row>
    <row r="1805" spans="14:14">
      <c r="N1805" s="62"/>
    </row>
    <row r="1806" spans="14:14">
      <c r="N1806" s="62"/>
    </row>
    <row r="1807" spans="14:14">
      <c r="N1807" s="62"/>
    </row>
    <row r="1808" spans="14:14">
      <c r="N1808" s="62"/>
    </row>
    <row r="1809" spans="14:14">
      <c r="N1809" s="62"/>
    </row>
    <row r="1810" spans="14:14">
      <c r="N1810" s="62"/>
    </row>
    <row r="1811" spans="14:14">
      <c r="N1811" s="62"/>
    </row>
    <row r="1812" spans="14:14">
      <c r="N1812" s="62"/>
    </row>
    <row r="1813" spans="14:14">
      <c r="N1813" s="62"/>
    </row>
    <row r="1814" spans="14:14">
      <c r="N1814" s="62"/>
    </row>
    <row r="1815" spans="14:14">
      <c r="N1815" s="62"/>
    </row>
    <row r="1816" spans="14:14">
      <c r="N1816" s="62"/>
    </row>
    <row r="1817" spans="14:14">
      <c r="N1817" s="62"/>
    </row>
    <row r="1818" spans="14:14">
      <c r="N1818" s="62"/>
    </row>
    <row r="1819" spans="14:14">
      <c r="N1819" s="62"/>
    </row>
    <row r="1820" spans="14:14">
      <c r="N1820" s="62"/>
    </row>
    <row r="1821" spans="14:14">
      <c r="N1821" s="62"/>
    </row>
    <row r="1822" spans="14:14">
      <c r="N1822" s="62"/>
    </row>
    <row r="1823" spans="14:14">
      <c r="N1823" s="62"/>
    </row>
    <row r="1824" spans="14:14">
      <c r="N1824" s="62"/>
    </row>
    <row r="1825" spans="14:14">
      <c r="N1825" s="62"/>
    </row>
    <row r="1826" spans="14:14">
      <c r="N1826" s="62"/>
    </row>
    <row r="1827" spans="14:14">
      <c r="N1827" s="62"/>
    </row>
    <row r="1828" spans="14:14">
      <c r="N1828" s="62"/>
    </row>
    <row r="1829" spans="14:14">
      <c r="N1829" s="62"/>
    </row>
    <row r="1830" spans="14:14">
      <c r="N1830" s="62"/>
    </row>
    <row r="1831" spans="14:14">
      <c r="N1831" s="62"/>
    </row>
    <row r="1832" spans="14:14">
      <c r="N1832" s="62"/>
    </row>
    <row r="1833" spans="14:14">
      <c r="N1833" s="62"/>
    </row>
    <row r="1834" spans="14:14">
      <c r="N1834" s="62"/>
    </row>
    <row r="1835" spans="14:14">
      <c r="N1835" s="62"/>
    </row>
    <row r="1836" spans="14:14">
      <c r="N1836" s="62"/>
    </row>
    <row r="1837" spans="14:14">
      <c r="N1837" s="62"/>
    </row>
    <row r="1838" spans="14:14">
      <c r="N1838" s="62"/>
    </row>
    <row r="1839" spans="14:14">
      <c r="N1839" s="62"/>
    </row>
    <row r="1840" spans="14:14">
      <c r="N1840" s="62"/>
    </row>
    <row r="1841" spans="14:14">
      <c r="N1841" s="62"/>
    </row>
    <row r="1842" spans="14:14">
      <c r="N1842" s="62"/>
    </row>
    <row r="1843" spans="14:14">
      <c r="N1843" s="62"/>
    </row>
    <row r="1844" spans="14:14">
      <c r="N1844" s="62"/>
    </row>
    <row r="1845" spans="14:14">
      <c r="N1845" s="62"/>
    </row>
    <row r="1846" spans="14:14">
      <c r="N1846" s="62"/>
    </row>
    <row r="1847" spans="14:14">
      <c r="N1847" s="62"/>
    </row>
    <row r="1848" spans="14:14">
      <c r="N1848" s="62"/>
    </row>
    <row r="1849" spans="14:14">
      <c r="N1849" s="62"/>
    </row>
    <row r="1850" spans="14:14">
      <c r="N1850" s="62"/>
    </row>
    <row r="1851" spans="14:14">
      <c r="N1851" s="62"/>
    </row>
    <row r="1852" spans="14:14">
      <c r="N1852" s="62"/>
    </row>
    <row r="1853" spans="14:14">
      <c r="N1853" s="62"/>
    </row>
    <row r="1854" spans="14:14">
      <c r="N1854" s="62"/>
    </row>
    <row r="1855" spans="14:14">
      <c r="N1855" s="62"/>
    </row>
    <row r="1856" spans="14:14">
      <c r="N1856" s="62"/>
    </row>
    <row r="1857" spans="14:14">
      <c r="N1857" s="62"/>
    </row>
    <row r="1858" spans="14:14">
      <c r="N1858" s="62"/>
    </row>
    <row r="1859" spans="14:14">
      <c r="N1859" s="62"/>
    </row>
    <row r="1860" spans="14:14">
      <c r="N1860" s="62"/>
    </row>
    <row r="1861" spans="14:14">
      <c r="N1861" s="62"/>
    </row>
    <row r="1862" spans="14:14">
      <c r="N1862" s="62"/>
    </row>
    <row r="1863" spans="14:14">
      <c r="N1863" s="62"/>
    </row>
    <row r="1864" spans="14:14">
      <c r="N1864" s="62"/>
    </row>
    <row r="1865" spans="14:14">
      <c r="N1865" s="62"/>
    </row>
    <row r="1866" spans="14:14">
      <c r="N1866" s="62"/>
    </row>
    <row r="1867" spans="14:14">
      <c r="N1867" s="62"/>
    </row>
    <row r="1868" spans="14:14">
      <c r="N1868" s="62"/>
    </row>
    <row r="1869" spans="14:14">
      <c r="N1869" s="62"/>
    </row>
    <row r="1870" spans="14:14">
      <c r="N1870" s="62"/>
    </row>
    <row r="1871" spans="14:14">
      <c r="N1871" s="62"/>
    </row>
    <row r="1872" spans="14:14">
      <c r="N1872" s="62"/>
    </row>
    <row r="1873" spans="14:14">
      <c r="N1873" s="62"/>
    </row>
    <row r="1874" spans="14:14">
      <c r="N1874" s="62"/>
    </row>
    <row r="1875" spans="14:14">
      <c r="N1875" s="62"/>
    </row>
    <row r="1876" spans="14:14">
      <c r="N1876" s="62"/>
    </row>
    <row r="1877" spans="14:14">
      <c r="N1877" s="62"/>
    </row>
    <row r="1878" spans="14:14">
      <c r="N1878" s="62"/>
    </row>
    <row r="1879" spans="14:14">
      <c r="N1879" s="62"/>
    </row>
    <row r="1880" spans="14:14">
      <c r="N1880" s="62"/>
    </row>
    <row r="1881" spans="14:14">
      <c r="N1881" s="62"/>
    </row>
    <row r="1882" spans="14:14">
      <c r="N1882" s="62"/>
    </row>
    <row r="1883" spans="14:14">
      <c r="N1883" s="62"/>
    </row>
    <row r="1884" spans="14:14">
      <c r="N1884" s="62"/>
    </row>
    <row r="1885" spans="14:14">
      <c r="N1885" s="62"/>
    </row>
    <row r="1886" spans="14:14">
      <c r="N1886" s="62"/>
    </row>
    <row r="1887" spans="14:14">
      <c r="N1887" s="62"/>
    </row>
    <row r="1888" spans="14:14">
      <c r="N1888" s="62"/>
    </row>
    <row r="1889" spans="14:14">
      <c r="N1889" s="62"/>
    </row>
    <row r="1890" spans="14:14">
      <c r="N1890" s="62"/>
    </row>
    <row r="1891" spans="14:14">
      <c r="N1891" s="62"/>
    </row>
    <row r="1892" spans="14:14">
      <c r="N1892" s="62"/>
    </row>
    <row r="1893" spans="14:14">
      <c r="N1893" s="62"/>
    </row>
    <row r="1894" spans="14:14">
      <c r="N1894" s="62"/>
    </row>
    <row r="1895" spans="14:14">
      <c r="N1895" s="62"/>
    </row>
    <row r="1896" spans="14:14">
      <c r="N1896" s="62"/>
    </row>
    <row r="1897" spans="14:14">
      <c r="N1897" s="62"/>
    </row>
    <row r="1898" spans="14:14">
      <c r="N1898" s="62"/>
    </row>
    <row r="1899" spans="14:14">
      <c r="N1899" s="62"/>
    </row>
    <row r="1900" spans="14:14">
      <c r="N1900" s="62"/>
    </row>
    <row r="1901" spans="14:14">
      <c r="N1901" s="62"/>
    </row>
    <row r="1902" spans="14:14">
      <c r="N1902" s="62"/>
    </row>
    <row r="1903" spans="14:14">
      <c r="N1903" s="62"/>
    </row>
    <row r="1904" spans="14:14">
      <c r="N1904" s="62"/>
    </row>
    <row r="1905" spans="14:14">
      <c r="N1905" s="62"/>
    </row>
    <row r="1906" spans="14:14">
      <c r="N1906" s="62"/>
    </row>
    <row r="1907" spans="14:14">
      <c r="N1907" s="62"/>
    </row>
    <row r="1908" spans="14:14">
      <c r="N1908" s="62"/>
    </row>
    <row r="1909" spans="14:14">
      <c r="N1909" s="62"/>
    </row>
    <row r="1910" spans="14:14">
      <c r="N1910" s="62"/>
    </row>
    <row r="1911" spans="14:14">
      <c r="N1911" s="62"/>
    </row>
    <row r="1912" spans="14:14">
      <c r="N1912" s="62"/>
    </row>
    <row r="1913" spans="14:14">
      <c r="N1913" s="62"/>
    </row>
    <row r="1914" spans="14:14">
      <c r="N1914" s="62"/>
    </row>
    <row r="1915" spans="14:14">
      <c r="N1915" s="62"/>
    </row>
    <row r="1916" spans="14:14">
      <c r="N1916" s="62"/>
    </row>
    <row r="1917" spans="14:14">
      <c r="N1917" s="62"/>
    </row>
    <row r="1918" spans="14:14">
      <c r="N1918" s="62"/>
    </row>
    <row r="1919" spans="14:14">
      <c r="N1919" s="62"/>
    </row>
    <row r="1920" spans="14:14">
      <c r="N1920" s="62"/>
    </row>
    <row r="1921" spans="14:14">
      <c r="N1921" s="62"/>
    </row>
    <row r="1922" spans="14:14">
      <c r="N1922" s="62"/>
    </row>
    <row r="1923" spans="14:14">
      <c r="N1923" s="62"/>
    </row>
    <row r="1924" spans="14:14">
      <c r="N1924" s="62"/>
    </row>
    <row r="1925" spans="14:14">
      <c r="N1925" s="62"/>
    </row>
    <row r="1926" spans="14:14">
      <c r="N1926" s="62"/>
    </row>
    <row r="1927" spans="14:14">
      <c r="N1927" s="62"/>
    </row>
    <row r="1928" spans="14:14">
      <c r="N1928" s="62"/>
    </row>
    <row r="1929" spans="14:14">
      <c r="N1929" s="62"/>
    </row>
    <row r="1930" spans="14:14">
      <c r="N1930" s="62"/>
    </row>
    <row r="1931" spans="14:14">
      <c r="N1931" s="62"/>
    </row>
    <row r="1932" spans="14:14">
      <c r="N1932" s="62"/>
    </row>
    <row r="1933" spans="14:14">
      <c r="N1933" s="62"/>
    </row>
    <row r="1934" spans="14:14">
      <c r="N1934" s="62"/>
    </row>
    <row r="1935" spans="14:14">
      <c r="N1935" s="62"/>
    </row>
    <row r="1936" spans="14:14">
      <c r="N1936" s="62"/>
    </row>
    <row r="1937" spans="14:14">
      <c r="N1937" s="62"/>
    </row>
    <row r="1938" spans="14:14">
      <c r="N1938" s="62"/>
    </row>
    <row r="1939" spans="14:14">
      <c r="N1939" s="62"/>
    </row>
    <row r="1940" spans="14:14">
      <c r="N1940" s="62"/>
    </row>
    <row r="1941" spans="14:14">
      <c r="N1941" s="62"/>
    </row>
    <row r="1942" spans="14:14">
      <c r="N1942" s="62"/>
    </row>
    <row r="1943" spans="14:14">
      <c r="N1943" s="62"/>
    </row>
    <row r="1944" spans="14:14">
      <c r="N1944" s="62"/>
    </row>
    <row r="1945" spans="14:14">
      <c r="N1945" s="62"/>
    </row>
    <row r="1946" spans="14:14">
      <c r="N1946" s="62"/>
    </row>
    <row r="1947" spans="14:14">
      <c r="N1947" s="62"/>
    </row>
    <row r="1948" spans="14:14">
      <c r="N1948" s="62"/>
    </row>
    <row r="1949" spans="14:14">
      <c r="N1949" s="62"/>
    </row>
    <row r="1950" spans="14:14">
      <c r="N1950" s="62"/>
    </row>
    <row r="1951" spans="14:14">
      <c r="N1951" s="62"/>
    </row>
    <row r="1952" spans="14:14">
      <c r="N1952" s="62"/>
    </row>
    <row r="1953" spans="14:14">
      <c r="N1953" s="62"/>
    </row>
    <row r="1954" spans="14:14">
      <c r="N1954" s="62"/>
    </row>
    <row r="1955" spans="14:14">
      <c r="N1955" s="62"/>
    </row>
    <row r="1956" spans="14:14">
      <c r="N1956" s="62"/>
    </row>
    <row r="1957" spans="14:14">
      <c r="N1957" s="62"/>
    </row>
    <row r="1958" spans="14:14">
      <c r="N1958" s="62"/>
    </row>
    <row r="1959" spans="14:14">
      <c r="N1959" s="62"/>
    </row>
    <row r="1960" spans="14:14">
      <c r="N1960" s="62"/>
    </row>
    <row r="1961" spans="14:14">
      <c r="N1961" s="62"/>
    </row>
    <row r="1962" spans="14:14">
      <c r="N1962" s="62"/>
    </row>
    <row r="1963" spans="14:14">
      <c r="N1963" s="62"/>
    </row>
    <row r="1964" spans="14:14">
      <c r="N1964" s="62"/>
    </row>
    <row r="1965" spans="14:14">
      <c r="N1965" s="62"/>
    </row>
    <row r="1966" spans="14:14">
      <c r="N1966" s="62"/>
    </row>
    <row r="1967" spans="14:14">
      <c r="N1967" s="62"/>
    </row>
    <row r="1968" spans="14:14">
      <c r="N1968" s="62"/>
    </row>
    <row r="1969" spans="14:14">
      <c r="N1969" s="62"/>
    </row>
    <row r="1970" spans="14:14">
      <c r="N1970" s="62"/>
    </row>
    <row r="1971" spans="14:14">
      <c r="N1971" s="62"/>
    </row>
    <row r="1972" spans="14:14">
      <c r="N1972" s="62"/>
    </row>
    <row r="1973" spans="14:14">
      <c r="N1973" s="62"/>
    </row>
    <row r="1974" spans="14:14">
      <c r="N1974" s="62"/>
    </row>
    <row r="1975" spans="14:14">
      <c r="N1975" s="62"/>
    </row>
    <row r="1976" spans="14:14">
      <c r="N1976" s="62"/>
    </row>
    <row r="1977" spans="14:14">
      <c r="N1977" s="62"/>
    </row>
    <row r="1978" spans="14:14">
      <c r="N1978" s="62"/>
    </row>
    <row r="1979" spans="14:14">
      <c r="N1979" s="62"/>
    </row>
    <row r="1980" spans="14:14">
      <c r="N1980" s="62"/>
    </row>
    <row r="1981" spans="14:14">
      <c r="N1981" s="62"/>
    </row>
    <row r="1982" spans="14:14">
      <c r="N1982" s="62"/>
    </row>
    <row r="1983" spans="14:14">
      <c r="N1983" s="62"/>
    </row>
    <row r="1984" spans="14:14">
      <c r="N1984" s="62"/>
    </row>
    <row r="1985" spans="14:14">
      <c r="N1985" s="62"/>
    </row>
    <row r="1986" spans="14:14">
      <c r="N1986" s="62"/>
    </row>
    <row r="1987" spans="14:14">
      <c r="N1987" s="62"/>
    </row>
    <row r="1988" spans="14:14">
      <c r="N1988" s="62"/>
    </row>
    <row r="1989" spans="14:14">
      <c r="N1989" s="62"/>
    </row>
    <row r="1990" spans="14:14">
      <c r="N1990" s="62"/>
    </row>
    <row r="1991" spans="14:14">
      <c r="N1991" s="62"/>
    </row>
    <row r="1992" spans="14:14">
      <c r="N1992" s="62"/>
    </row>
    <row r="1993" spans="14:14">
      <c r="N1993" s="62"/>
    </row>
    <row r="1994" spans="14:14">
      <c r="N1994" s="62"/>
    </row>
    <row r="1995" spans="14:14">
      <c r="N1995" s="62"/>
    </row>
    <row r="1996" spans="14:14">
      <c r="N1996" s="62"/>
    </row>
    <row r="1997" spans="14:14">
      <c r="N1997" s="62"/>
    </row>
    <row r="1998" spans="14:14">
      <c r="N1998" s="62"/>
    </row>
    <row r="1999" spans="14:14">
      <c r="N1999" s="62"/>
    </row>
    <row r="2000" spans="14:14">
      <c r="N2000" s="62"/>
    </row>
    <row r="2001" spans="14:14">
      <c r="N2001" s="62"/>
    </row>
    <row r="2002" spans="14:14">
      <c r="N2002" s="62"/>
    </row>
    <row r="2003" spans="14:14">
      <c r="N2003" s="62"/>
    </row>
    <row r="2004" spans="14:14">
      <c r="N2004" s="62"/>
    </row>
    <row r="2005" spans="14:14">
      <c r="N2005" s="62"/>
    </row>
    <row r="2006" spans="14:14">
      <c r="N2006" s="62"/>
    </row>
    <row r="2007" spans="14:14">
      <c r="N2007" s="62"/>
    </row>
    <row r="2008" spans="14:14">
      <c r="N2008" s="62"/>
    </row>
    <row r="2009" spans="14:14">
      <c r="N2009" s="62"/>
    </row>
    <row r="2010" spans="14:14">
      <c r="N2010" s="62"/>
    </row>
    <row r="2011" spans="14:14">
      <c r="N2011" s="62"/>
    </row>
    <row r="2012" spans="14:14">
      <c r="N2012" s="62"/>
    </row>
    <row r="2013" spans="14:14">
      <c r="N2013" s="62"/>
    </row>
    <row r="2014" spans="14:14">
      <c r="N2014" s="62"/>
    </row>
    <row r="2015" spans="14:14">
      <c r="N2015" s="62"/>
    </row>
    <row r="2016" spans="14:14">
      <c r="N2016" s="62"/>
    </row>
    <row r="2017" spans="14:14">
      <c r="N2017" s="62"/>
    </row>
    <row r="2018" spans="14:14">
      <c r="N2018" s="62"/>
    </row>
    <row r="2019" spans="14:14">
      <c r="N2019" s="62"/>
    </row>
    <row r="2020" spans="14:14">
      <c r="N2020" s="62"/>
    </row>
    <row r="2021" spans="14:14">
      <c r="N2021" s="62"/>
    </row>
    <row r="2022" spans="14:14">
      <c r="N2022" s="62"/>
    </row>
    <row r="2023" spans="14:14">
      <c r="N2023" s="62"/>
    </row>
    <row r="2024" spans="14:14">
      <c r="N2024" s="62"/>
    </row>
    <row r="2025" spans="14:14">
      <c r="N2025" s="62"/>
    </row>
    <row r="2026" spans="14:14">
      <c r="N2026" s="62"/>
    </row>
    <row r="2027" spans="14:14">
      <c r="N2027" s="62"/>
    </row>
    <row r="2028" spans="14:14">
      <c r="N2028" s="62"/>
    </row>
    <row r="2029" spans="14:14">
      <c r="N2029" s="62"/>
    </row>
    <row r="2030" spans="14:14">
      <c r="N2030" s="62"/>
    </row>
    <row r="2031" spans="14:14">
      <c r="N2031" s="62"/>
    </row>
    <row r="2032" spans="14:14">
      <c r="N2032" s="62"/>
    </row>
    <row r="2033" spans="14:14">
      <c r="N2033" s="62"/>
    </row>
    <row r="2034" spans="14:14">
      <c r="N2034" s="62"/>
    </row>
    <row r="2035" spans="14:14">
      <c r="N2035" s="62"/>
    </row>
    <row r="2036" spans="14:14">
      <c r="N2036" s="62"/>
    </row>
    <row r="2037" spans="14:14">
      <c r="N2037" s="62"/>
    </row>
    <row r="2038" spans="14:14">
      <c r="N2038" s="62"/>
    </row>
    <row r="2039" spans="14:14">
      <c r="N2039" s="62"/>
    </row>
    <row r="2040" spans="14:14">
      <c r="N2040" s="62"/>
    </row>
    <row r="2041" spans="14:14">
      <c r="N2041" s="62"/>
    </row>
    <row r="2042" spans="14:14">
      <c r="N2042" s="62"/>
    </row>
    <row r="2043" spans="14:14">
      <c r="N2043" s="62"/>
    </row>
    <row r="2044" spans="14:14">
      <c r="N2044" s="62"/>
    </row>
    <row r="2045" spans="14:14">
      <c r="N2045" s="62"/>
    </row>
    <row r="2046" spans="14:14">
      <c r="N2046" s="62"/>
    </row>
    <row r="2047" spans="14:14">
      <c r="N2047" s="62"/>
    </row>
    <row r="2048" spans="14:14">
      <c r="N2048" s="62"/>
    </row>
    <row r="2049" spans="14:14">
      <c r="N2049" s="62"/>
    </row>
    <row r="2050" spans="14:14">
      <c r="N2050" s="62"/>
    </row>
    <row r="2051" spans="14:14">
      <c r="N2051" s="62"/>
    </row>
    <row r="2052" spans="14:14">
      <c r="N2052" s="62"/>
    </row>
    <row r="2053" spans="14:14">
      <c r="N2053" s="62"/>
    </row>
    <row r="2054" spans="14:14">
      <c r="N2054" s="62"/>
    </row>
    <row r="2055" spans="14:14">
      <c r="N2055" s="62"/>
    </row>
    <row r="2056" spans="14:14">
      <c r="N2056" s="62"/>
    </row>
    <row r="2057" spans="14:14">
      <c r="N2057" s="62"/>
    </row>
    <row r="2058" spans="14:14">
      <c r="N2058" s="62"/>
    </row>
    <row r="2059" spans="14:14">
      <c r="N2059" s="62"/>
    </row>
    <row r="2060" spans="14:14">
      <c r="N2060" s="62"/>
    </row>
    <row r="2061" spans="14:14">
      <c r="N2061" s="62"/>
    </row>
    <row r="2062" spans="14:14">
      <c r="N2062" s="62"/>
    </row>
    <row r="2063" spans="14:14">
      <c r="N2063" s="62"/>
    </row>
    <row r="2064" spans="14:14">
      <c r="N2064" s="62"/>
    </row>
    <row r="2065" spans="14:14">
      <c r="N2065" s="62"/>
    </row>
    <row r="2066" spans="14:14">
      <c r="N2066" s="62"/>
    </row>
    <row r="2067" spans="14:14">
      <c r="N2067" s="62"/>
    </row>
    <row r="2068" spans="14:14">
      <c r="N2068" s="62"/>
    </row>
    <row r="2069" spans="14:14">
      <c r="N2069" s="62"/>
    </row>
    <row r="2070" spans="14:14">
      <c r="N2070" s="62"/>
    </row>
    <row r="2071" spans="14:14">
      <c r="N2071" s="62"/>
    </row>
    <row r="2072" spans="14:14">
      <c r="N2072" s="62"/>
    </row>
    <row r="2073" spans="14:14">
      <c r="N2073" s="62"/>
    </row>
    <row r="2074" spans="14:14">
      <c r="N2074" s="62"/>
    </row>
    <row r="2075" spans="14:14">
      <c r="N2075" s="62"/>
    </row>
    <row r="2076" spans="14:14">
      <c r="N2076" s="62"/>
    </row>
    <row r="2077" spans="14:14">
      <c r="N2077" s="62"/>
    </row>
    <row r="2078" spans="14:14">
      <c r="N2078" s="62"/>
    </row>
    <row r="2079" spans="14:14">
      <c r="N2079" s="62"/>
    </row>
    <row r="2080" spans="14:14">
      <c r="N2080" s="62"/>
    </row>
    <row r="2081" spans="14:14">
      <c r="N2081" s="62"/>
    </row>
    <row r="2082" spans="14:14">
      <c r="N2082" s="62"/>
    </row>
    <row r="2083" spans="14:14">
      <c r="N2083" s="62"/>
    </row>
    <row r="2084" spans="14:14">
      <c r="N2084" s="62"/>
    </row>
    <row r="2085" spans="14:14">
      <c r="N2085" s="62"/>
    </row>
    <row r="2086" spans="14:14">
      <c r="N2086" s="62"/>
    </row>
    <row r="2087" spans="14:14">
      <c r="N2087" s="62"/>
    </row>
    <row r="2088" spans="14:14">
      <c r="N2088" s="62"/>
    </row>
    <row r="2089" spans="14:14">
      <c r="N2089" s="62"/>
    </row>
    <row r="2090" spans="14:14">
      <c r="N2090" s="62"/>
    </row>
    <row r="2091" spans="14:14">
      <c r="N2091" s="62"/>
    </row>
    <row r="2092" spans="14:14">
      <c r="N2092" s="62"/>
    </row>
    <row r="2093" spans="14:14">
      <c r="N2093" s="62"/>
    </row>
    <row r="2094" spans="14:14">
      <c r="N2094" s="62"/>
    </row>
    <row r="2095" spans="14:14">
      <c r="N2095" s="62"/>
    </row>
    <row r="2096" spans="14:14">
      <c r="N2096" s="62"/>
    </row>
    <row r="2097" spans="14:14">
      <c r="N2097" s="62"/>
    </row>
    <row r="2098" spans="14:14">
      <c r="N2098" s="62"/>
    </row>
    <row r="2099" spans="14:14">
      <c r="N2099" s="62"/>
    </row>
    <row r="2100" spans="14:14">
      <c r="N2100" s="62"/>
    </row>
    <row r="2101" spans="14:14">
      <c r="N2101" s="62"/>
    </row>
    <row r="2102" spans="14:14">
      <c r="N2102" s="62"/>
    </row>
    <row r="2103" spans="14:14">
      <c r="N2103" s="62"/>
    </row>
    <row r="2104" spans="14:14">
      <c r="N2104" s="62"/>
    </row>
    <row r="2105" spans="14:14">
      <c r="N2105" s="62"/>
    </row>
    <row r="2106" spans="14:14">
      <c r="N2106" s="62"/>
    </row>
    <row r="2107" spans="14:14">
      <c r="N2107" s="62"/>
    </row>
    <row r="2108" spans="14:14">
      <c r="N2108" s="62"/>
    </row>
    <row r="2109" spans="14:14">
      <c r="N2109" s="62"/>
    </row>
    <row r="2110" spans="14:14">
      <c r="N2110" s="62"/>
    </row>
    <row r="2111" spans="14:14">
      <c r="N2111" s="62"/>
    </row>
    <row r="2112" spans="14:14">
      <c r="N2112" s="62"/>
    </row>
    <row r="2113" spans="14:14">
      <c r="N2113" s="62"/>
    </row>
    <row r="2114" spans="14:14">
      <c r="N2114" s="62"/>
    </row>
    <row r="2115" spans="14:14">
      <c r="N2115" s="62"/>
    </row>
    <row r="2116" spans="14:14">
      <c r="N2116" s="62"/>
    </row>
    <row r="2117" spans="14:14">
      <c r="N2117" s="62"/>
    </row>
    <row r="2118" spans="14:14">
      <c r="N2118" s="62"/>
    </row>
    <row r="2119" spans="14:14">
      <c r="N2119" s="62"/>
    </row>
    <row r="2120" spans="14:14">
      <c r="N2120" s="62"/>
    </row>
    <row r="2121" spans="14:14">
      <c r="N2121" s="62"/>
    </row>
    <row r="2122" spans="14:14">
      <c r="N2122" s="62"/>
    </row>
    <row r="2123" spans="14:14">
      <c r="N2123" s="62"/>
    </row>
    <row r="2124" spans="14:14">
      <c r="N2124" s="62"/>
    </row>
    <row r="2125" spans="14:14">
      <c r="N2125" s="62"/>
    </row>
    <row r="2126" spans="14:14">
      <c r="N2126" s="62"/>
    </row>
    <row r="2127" spans="14:14">
      <c r="N2127" s="62"/>
    </row>
    <row r="2128" spans="14:14">
      <c r="N2128" s="62"/>
    </row>
    <row r="2129" spans="14:14">
      <c r="N2129" s="62"/>
    </row>
    <row r="2130" spans="14:14">
      <c r="N2130" s="62"/>
    </row>
    <row r="2131" spans="14:14">
      <c r="N2131" s="62"/>
    </row>
    <row r="2132" spans="14:14">
      <c r="N2132" s="62"/>
    </row>
    <row r="2133" spans="14:14">
      <c r="N2133" s="62"/>
    </row>
    <row r="2134" spans="14:14">
      <c r="N2134" s="62"/>
    </row>
    <row r="2135" spans="14:14">
      <c r="N2135" s="62"/>
    </row>
    <row r="2136" spans="14:14">
      <c r="N2136" s="62"/>
    </row>
    <row r="2137" spans="14:14">
      <c r="N2137" s="62"/>
    </row>
    <row r="2138" spans="14:14">
      <c r="N2138" s="62"/>
    </row>
    <row r="2139" spans="14:14">
      <c r="N2139" s="62"/>
    </row>
    <row r="2140" spans="14:14">
      <c r="N2140" s="62"/>
    </row>
    <row r="2141" spans="14:14">
      <c r="N2141" s="62"/>
    </row>
    <row r="2142" spans="14:14">
      <c r="N2142" s="62"/>
    </row>
    <row r="2143" spans="14:14">
      <c r="N2143" s="62"/>
    </row>
    <row r="2144" spans="14:14">
      <c r="N2144" s="62"/>
    </row>
    <row r="2145" spans="14:14">
      <c r="N2145" s="62"/>
    </row>
    <row r="2146" spans="14:14">
      <c r="N2146" s="62"/>
    </row>
    <row r="2147" spans="14:14">
      <c r="N2147" s="62"/>
    </row>
    <row r="2148" spans="14:14">
      <c r="N2148" s="62"/>
    </row>
    <row r="2149" spans="14:14">
      <c r="N2149" s="62"/>
    </row>
    <row r="2150" spans="14:14">
      <c r="N2150" s="62"/>
    </row>
    <row r="2151" spans="14:14">
      <c r="N2151" s="62"/>
    </row>
    <row r="2152" spans="14:14">
      <c r="N2152" s="62"/>
    </row>
    <row r="2153" spans="14:14">
      <c r="N2153" s="62"/>
    </row>
    <row r="2154" spans="14:14">
      <c r="N2154" s="62"/>
    </row>
    <row r="2155" spans="14:14">
      <c r="N2155" s="62"/>
    </row>
    <row r="2156" spans="14:14">
      <c r="N2156" s="62"/>
    </row>
    <row r="2157" spans="14:14">
      <c r="N2157" s="62"/>
    </row>
    <row r="2158" spans="14:14">
      <c r="N2158" s="62"/>
    </row>
    <row r="2159" spans="14:14">
      <c r="N2159" s="62"/>
    </row>
    <row r="2160" spans="14:14">
      <c r="N2160" s="62"/>
    </row>
    <row r="2161" spans="14:14">
      <c r="N2161" s="62"/>
    </row>
    <row r="2162" spans="14:14">
      <c r="N2162" s="62"/>
    </row>
    <row r="2163" spans="14:14">
      <c r="N2163" s="62"/>
    </row>
    <row r="2164" spans="14:14">
      <c r="N2164" s="62"/>
    </row>
    <row r="2165" spans="14:14">
      <c r="N2165" s="62"/>
    </row>
    <row r="2166" spans="14:14">
      <c r="N2166" s="62"/>
    </row>
    <row r="2167" spans="14:14">
      <c r="N2167" s="62"/>
    </row>
    <row r="2168" spans="14:14">
      <c r="N2168" s="62"/>
    </row>
    <row r="2169" spans="14:14">
      <c r="N2169" s="62"/>
    </row>
    <row r="2170" spans="14:14">
      <c r="N2170" s="62"/>
    </row>
    <row r="2171" spans="14:14">
      <c r="N2171" s="62"/>
    </row>
    <row r="2172" spans="14:14">
      <c r="N2172" s="62"/>
    </row>
    <row r="2173" spans="14:14">
      <c r="N2173" s="62"/>
    </row>
    <row r="2174" spans="14:14">
      <c r="N2174" s="62"/>
    </row>
    <row r="2175" spans="14:14">
      <c r="N2175" s="62"/>
    </row>
    <row r="2176" spans="14:14">
      <c r="N2176" s="62"/>
    </row>
    <row r="2177" spans="14:14">
      <c r="N2177" s="62"/>
    </row>
    <row r="2178" spans="14:14">
      <c r="N2178" s="62"/>
    </row>
    <row r="2179" spans="14:14">
      <c r="N2179" s="62"/>
    </row>
    <row r="2180" spans="14:14">
      <c r="N2180" s="62"/>
    </row>
    <row r="2181" spans="14:14">
      <c r="N2181" s="62"/>
    </row>
    <row r="2182" spans="14:14">
      <c r="N2182" s="62"/>
    </row>
    <row r="2183" spans="14:14">
      <c r="N2183" s="62"/>
    </row>
    <row r="2184" spans="14:14">
      <c r="N2184" s="62"/>
    </row>
    <row r="2185" spans="14:14">
      <c r="N2185" s="62"/>
    </row>
    <row r="2186" spans="14:14">
      <c r="N2186" s="62"/>
    </row>
    <row r="2187" spans="14:14">
      <c r="N2187" s="62"/>
    </row>
    <row r="2188" spans="14:14">
      <c r="N2188" s="62"/>
    </row>
    <row r="2189" spans="14:14">
      <c r="N2189" s="62"/>
    </row>
    <row r="2190" spans="14:14">
      <c r="N2190" s="62"/>
    </row>
    <row r="2191" spans="14:14">
      <c r="N2191" s="62"/>
    </row>
    <row r="2192" spans="14:14">
      <c r="N2192" s="62"/>
    </row>
    <row r="2193" spans="14:14">
      <c r="N2193" s="62"/>
    </row>
    <row r="2194" spans="14:14">
      <c r="N2194" s="62"/>
    </row>
    <row r="2195" spans="14:14">
      <c r="N2195" s="62"/>
    </row>
    <row r="2196" spans="14:14">
      <c r="N2196" s="62"/>
    </row>
    <row r="2197" spans="14:14">
      <c r="N2197" s="62"/>
    </row>
    <row r="2198" spans="14:14">
      <c r="N2198" s="62"/>
    </row>
    <row r="2199" spans="14:14">
      <c r="N2199" s="62"/>
    </row>
    <row r="2200" spans="14:14">
      <c r="N2200" s="62"/>
    </row>
    <row r="2201" spans="14:14">
      <c r="N2201" s="62"/>
    </row>
    <row r="2202" spans="14:14">
      <c r="N2202" s="62"/>
    </row>
    <row r="2203" spans="14:14">
      <c r="N2203" s="62"/>
    </row>
    <row r="2204" spans="14:14">
      <c r="N2204" s="62"/>
    </row>
    <row r="2205" spans="14:14">
      <c r="N2205" s="62"/>
    </row>
    <row r="2206" spans="14:14">
      <c r="N2206" s="62"/>
    </row>
    <row r="2207" spans="14:14">
      <c r="N2207" s="62"/>
    </row>
    <row r="2208" spans="14:14">
      <c r="N2208" s="62"/>
    </row>
    <row r="2209" spans="14:14">
      <c r="N2209" s="62"/>
    </row>
    <row r="2210" spans="14:14">
      <c r="N2210" s="62"/>
    </row>
    <row r="2211" spans="14:14">
      <c r="N2211" s="62"/>
    </row>
    <row r="2212" spans="14:14">
      <c r="N2212" s="62"/>
    </row>
    <row r="2213" spans="14:14">
      <c r="N2213" s="62"/>
    </row>
    <row r="2214" spans="14:14">
      <c r="N2214" s="62"/>
    </row>
    <row r="2215" spans="14:14">
      <c r="N2215" s="62"/>
    </row>
    <row r="2216" spans="14:14">
      <c r="N2216" s="62"/>
    </row>
    <row r="2217" spans="14:14">
      <c r="N2217" s="62"/>
    </row>
    <row r="2218" spans="14:14">
      <c r="N2218" s="62"/>
    </row>
    <row r="2219" spans="14:14">
      <c r="N2219" s="62"/>
    </row>
    <row r="2220" spans="14:14">
      <c r="N2220" s="62"/>
    </row>
    <row r="2221" spans="14:14">
      <c r="N2221" s="62"/>
    </row>
    <row r="2222" spans="14:14">
      <c r="N2222" s="62"/>
    </row>
    <row r="2223" spans="14:14">
      <c r="N2223" s="62"/>
    </row>
    <row r="2224" spans="14:14">
      <c r="N2224" s="62"/>
    </row>
    <row r="2225" spans="14:14">
      <c r="N2225" s="62"/>
    </row>
    <row r="2226" spans="14:14">
      <c r="N2226" s="62"/>
    </row>
    <row r="2227" spans="14:14">
      <c r="N2227" s="62"/>
    </row>
    <row r="2228" spans="14:14">
      <c r="N2228" s="62"/>
    </row>
    <row r="2229" spans="14:14">
      <c r="N2229" s="62"/>
    </row>
    <row r="2230" spans="14:14">
      <c r="N2230" s="62"/>
    </row>
    <row r="2231" spans="14:14">
      <c r="N2231" s="62"/>
    </row>
    <row r="2232" spans="14:14">
      <c r="N2232" s="62"/>
    </row>
    <row r="2233" spans="14:14">
      <c r="N2233" s="62"/>
    </row>
    <row r="2234" spans="14:14">
      <c r="N2234" s="62"/>
    </row>
    <row r="2235" spans="14:14">
      <c r="N2235" s="62"/>
    </row>
    <row r="2236" spans="14:14">
      <c r="N2236" s="62"/>
    </row>
    <row r="2237" spans="14:14">
      <c r="N2237" s="62"/>
    </row>
    <row r="2238" spans="14:14">
      <c r="N2238" s="62"/>
    </row>
    <row r="2239" spans="14:14">
      <c r="N2239" s="62"/>
    </row>
    <row r="2240" spans="14:14">
      <c r="N2240" s="62"/>
    </row>
    <row r="2241" spans="14:14">
      <c r="N2241" s="62"/>
    </row>
    <row r="2242" spans="14:14">
      <c r="N2242" s="62"/>
    </row>
    <row r="2243" spans="14:14">
      <c r="N2243" s="62"/>
    </row>
    <row r="2244" spans="14:14">
      <c r="N2244" s="62"/>
    </row>
    <row r="2245" spans="14:14">
      <c r="N2245" s="62"/>
    </row>
    <row r="2246" spans="14:14">
      <c r="N2246" s="62"/>
    </row>
    <row r="2247" spans="14:14">
      <c r="N2247" s="62"/>
    </row>
    <row r="2248" spans="14:14">
      <c r="N2248" s="62"/>
    </row>
    <row r="2249" spans="14:14">
      <c r="N2249" s="62"/>
    </row>
    <row r="2250" spans="14:14">
      <c r="N2250" s="62"/>
    </row>
    <row r="2251" spans="14:14">
      <c r="N2251" s="62"/>
    </row>
    <row r="2252" spans="14:14">
      <c r="N2252" s="62"/>
    </row>
    <row r="2253" spans="14:14">
      <c r="N2253" s="62"/>
    </row>
    <row r="2254" spans="14:14">
      <c r="N2254" s="62"/>
    </row>
    <row r="2255" spans="14:14">
      <c r="N2255" s="62"/>
    </row>
    <row r="2256" spans="14:14">
      <c r="N2256" s="62"/>
    </row>
    <row r="2257" spans="14:14">
      <c r="N2257" s="62"/>
    </row>
    <row r="2258" spans="14:14">
      <c r="N2258" s="62"/>
    </row>
    <row r="2259" spans="14:14">
      <c r="N2259" s="62"/>
    </row>
    <row r="2260" spans="14:14">
      <c r="N2260" s="62"/>
    </row>
    <row r="2261" spans="14:14">
      <c r="N2261" s="62"/>
    </row>
    <row r="2262" spans="14:14">
      <c r="N2262" s="62"/>
    </row>
    <row r="2263" spans="14:14">
      <c r="N2263" s="62"/>
    </row>
    <row r="2264" spans="14:14">
      <c r="N2264" s="62"/>
    </row>
    <row r="2265" spans="14:14">
      <c r="N2265" s="62"/>
    </row>
    <row r="2266" spans="14:14">
      <c r="N2266" s="62"/>
    </row>
    <row r="2267" spans="14:14">
      <c r="N2267" s="62"/>
    </row>
    <row r="2268" spans="14:14">
      <c r="N2268" s="62"/>
    </row>
    <row r="2269" spans="14:14">
      <c r="N2269" s="62"/>
    </row>
    <row r="2270" spans="14:14">
      <c r="N2270" s="62"/>
    </row>
    <row r="2271" spans="14:14">
      <c r="N2271" s="62"/>
    </row>
    <row r="2272" spans="14:14">
      <c r="N2272" s="62"/>
    </row>
    <row r="2273" spans="14:14">
      <c r="N2273" s="62"/>
    </row>
    <row r="2274" spans="14:14">
      <c r="N2274" s="62"/>
    </row>
    <row r="2275" spans="14:14">
      <c r="N2275" s="62"/>
    </row>
    <row r="2276" spans="14:14">
      <c r="N2276" s="62"/>
    </row>
    <row r="2277" spans="14:14">
      <c r="N2277" s="62"/>
    </row>
    <row r="2278" spans="14:14">
      <c r="N2278" s="62"/>
    </row>
    <row r="2279" spans="14:14">
      <c r="N2279" s="62"/>
    </row>
    <row r="2280" spans="14:14">
      <c r="N2280" s="62"/>
    </row>
    <row r="2281" spans="14:14">
      <c r="N2281" s="62"/>
    </row>
    <row r="2282" spans="14:14">
      <c r="N2282" s="62"/>
    </row>
    <row r="2283" spans="14:14">
      <c r="N2283" s="62"/>
    </row>
    <row r="2284" spans="14:14">
      <c r="N2284" s="62"/>
    </row>
    <row r="2285" spans="14:14">
      <c r="N2285" s="62"/>
    </row>
    <row r="2286" spans="14:14">
      <c r="N2286" s="62"/>
    </row>
    <row r="2287" spans="14:14">
      <c r="N2287" s="62"/>
    </row>
    <row r="2288" spans="14:14">
      <c r="N2288" s="62"/>
    </row>
    <row r="2289" spans="14:14">
      <c r="N2289" s="62"/>
    </row>
    <row r="2290" spans="14:14">
      <c r="N2290" s="62"/>
    </row>
    <row r="2291" spans="14:14">
      <c r="N2291" s="62"/>
    </row>
    <row r="2292" spans="14:14">
      <c r="N2292" s="62"/>
    </row>
    <row r="2293" spans="14:14">
      <c r="N2293" s="62"/>
    </row>
    <row r="2294" spans="14:14">
      <c r="N2294" s="62"/>
    </row>
    <row r="2295" spans="14:14">
      <c r="N2295" s="62"/>
    </row>
    <row r="2296" spans="14:14">
      <c r="N2296" s="62"/>
    </row>
    <row r="2297" spans="14:14">
      <c r="N2297" s="62"/>
    </row>
    <row r="2298" spans="14:14">
      <c r="N2298" s="62"/>
    </row>
    <row r="2299" spans="14:14">
      <c r="N2299" s="62"/>
    </row>
    <row r="2300" spans="14:14">
      <c r="N2300" s="62"/>
    </row>
    <row r="2301" spans="14:14">
      <c r="N2301" s="62"/>
    </row>
    <row r="2302" spans="14:14">
      <c r="N2302" s="62"/>
    </row>
    <row r="2303" spans="14:14">
      <c r="N2303" s="62"/>
    </row>
    <row r="2304" spans="14:14">
      <c r="N2304" s="62"/>
    </row>
    <row r="2305" spans="14:14">
      <c r="N2305" s="62"/>
    </row>
    <row r="2306" spans="14:14">
      <c r="N2306" s="62"/>
    </row>
    <row r="2307" spans="14:14">
      <c r="N2307" s="62"/>
    </row>
    <row r="2308" spans="14:14">
      <c r="N2308" s="62"/>
    </row>
    <row r="2309" spans="14:14">
      <c r="N2309" s="62"/>
    </row>
    <row r="2310" spans="14:14">
      <c r="N2310" s="62"/>
    </row>
    <row r="2311" spans="14:14">
      <c r="N2311" s="62"/>
    </row>
    <row r="2312" spans="14:14">
      <c r="N2312" s="62"/>
    </row>
    <row r="2313" spans="14:14">
      <c r="N2313" s="62"/>
    </row>
    <row r="2314" spans="14:14">
      <c r="N2314" s="62"/>
    </row>
    <row r="2315" spans="14:14">
      <c r="N2315" s="62"/>
    </row>
    <row r="2316" spans="14:14">
      <c r="N2316" s="62"/>
    </row>
    <row r="2317" spans="14:14">
      <c r="N2317" s="62"/>
    </row>
    <row r="2318" spans="14:14">
      <c r="N2318" s="62"/>
    </row>
    <row r="2319" spans="14:14">
      <c r="N2319" s="62"/>
    </row>
    <row r="2320" spans="14:14">
      <c r="N2320" s="62"/>
    </row>
    <row r="2321" spans="14:14">
      <c r="N2321" s="62"/>
    </row>
    <row r="2322" spans="14:14">
      <c r="N2322" s="62"/>
    </row>
    <row r="2323" spans="14:14">
      <c r="N2323" s="62"/>
    </row>
    <row r="2324" spans="14:14">
      <c r="N2324" s="62"/>
    </row>
    <row r="2325" spans="14:14">
      <c r="N2325" s="62"/>
    </row>
    <row r="2326" spans="14:14">
      <c r="N2326" s="62"/>
    </row>
    <row r="2327" spans="14:14">
      <c r="N2327" s="62"/>
    </row>
    <row r="2328" spans="14:14">
      <c r="N2328" s="62"/>
    </row>
    <row r="2329" spans="14:14">
      <c r="N2329" s="62"/>
    </row>
    <row r="2330" spans="14:14">
      <c r="N2330" s="62"/>
    </row>
    <row r="2331" spans="14:14">
      <c r="N2331" s="62"/>
    </row>
    <row r="2332" spans="14:14">
      <c r="N2332" s="62"/>
    </row>
    <row r="2333" spans="14:14">
      <c r="N2333" s="62"/>
    </row>
    <row r="2334" spans="14:14">
      <c r="N2334" s="62"/>
    </row>
    <row r="2335" spans="14:14">
      <c r="N2335" s="62"/>
    </row>
    <row r="2336" spans="14:14">
      <c r="N2336" s="62"/>
    </row>
    <row r="2337" spans="14:14">
      <c r="N2337" s="62"/>
    </row>
    <row r="2338" spans="14:14">
      <c r="N2338" s="62"/>
    </row>
    <row r="2339" spans="14:14">
      <c r="N2339" s="62"/>
    </row>
    <row r="2340" spans="14:14">
      <c r="N2340" s="62"/>
    </row>
    <row r="2341" spans="14:14">
      <c r="N2341" s="62"/>
    </row>
    <row r="2342" spans="14:14">
      <c r="N2342" s="62"/>
    </row>
    <row r="2343" spans="14:14">
      <c r="N2343" s="62"/>
    </row>
    <row r="2344" spans="14:14">
      <c r="N2344" s="62"/>
    </row>
    <row r="2345" spans="14:14">
      <c r="N2345" s="62"/>
    </row>
    <row r="2346" spans="14:14">
      <c r="N2346" s="62"/>
    </row>
    <row r="2347" spans="14:14">
      <c r="N2347" s="62"/>
    </row>
    <row r="2348" spans="14:14">
      <c r="N2348" s="62"/>
    </row>
    <row r="2349" spans="14:14">
      <c r="N2349" s="62"/>
    </row>
    <row r="2350" spans="14:14">
      <c r="N2350" s="62"/>
    </row>
    <row r="2351" spans="14:14">
      <c r="N2351" s="62"/>
    </row>
    <row r="2352" spans="14:14">
      <c r="N2352" s="62"/>
    </row>
    <row r="2353" spans="14:14">
      <c r="N2353" s="62"/>
    </row>
    <row r="2354" spans="14:14">
      <c r="N2354" s="62"/>
    </row>
    <row r="2355" spans="14:14">
      <c r="N2355" s="62"/>
    </row>
    <row r="2356" spans="14:14">
      <c r="N2356" s="62"/>
    </row>
    <row r="2357" spans="14:14">
      <c r="N2357" s="62"/>
    </row>
    <row r="2358" spans="14:14">
      <c r="N2358" s="62"/>
    </row>
    <row r="2359" spans="14:14">
      <c r="N2359" s="62"/>
    </row>
    <row r="2360" spans="14:14">
      <c r="N2360" s="62"/>
    </row>
    <row r="2361" spans="14:14">
      <c r="N2361" s="62"/>
    </row>
    <row r="2362" spans="14:14">
      <c r="N2362" s="62"/>
    </row>
    <row r="2363" spans="14:14">
      <c r="N2363" s="62"/>
    </row>
    <row r="2364" spans="14:14">
      <c r="N2364" s="62"/>
    </row>
    <row r="2365" spans="14:14">
      <c r="N2365" s="62"/>
    </row>
    <row r="2366" spans="14:14">
      <c r="N2366" s="62"/>
    </row>
    <row r="2367" spans="14:14">
      <c r="N2367" s="62"/>
    </row>
    <row r="2368" spans="14:14">
      <c r="N2368" s="62"/>
    </row>
    <row r="2369" spans="14:14">
      <c r="N2369" s="62"/>
    </row>
    <row r="2370" spans="14:14">
      <c r="N2370" s="62"/>
    </row>
    <row r="2371" spans="14:14">
      <c r="N2371" s="62"/>
    </row>
    <row r="2372" spans="14:14">
      <c r="N2372" s="62"/>
    </row>
    <row r="2373" spans="14:14">
      <c r="N2373" s="62"/>
    </row>
    <row r="2374" spans="14:14">
      <c r="N2374" s="62"/>
    </row>
    <row r="2375" spans="14:14">
      <c r="N2375" s="62"/>
    </row>
    <row r="2376" spans="14:14">
      <c r="N2376" s="62"/>
    </row>
    <row r="2377" spans="14:14">
      <c r="N2377" s="62"/>
    </row>
    <row r="2378" spans="14:14">
      <c r="N2378" s="62"/>
    </row>
    <row r="2379" spans="14:14">
      <c r="N2379" s="62"/>
    </row>
    <row r="2380" spans="14:14">
      <c r="N2380" s="62"/>
    </row>
    <row r="2381" spans="14:14">
      <c r="N2381" s="62"/>
    </row>
    <row r="2382" spans="14:14">
      <c r="N2382" s="62"/>
    </row>
    <row r="2383" spans="14:14">
      <c r="N2383" s="62"/>
    </row>
    <row r="2384" spans="14:14">
      <c r="N2384" s="62"/>
    </row>
    <row r="2385" spans="14:14">
      <c r="N2385" s="62"/>
    </row>
    <row r="2386" spans="14:14">
      <c r="N2386" s="62"/>
    </row>
    <row r="2387" spans="14:14">
      <c r="N2387" s="62"/>
    </row>
    <row r="2388" spans="14:14">
      <c r="N2388" s="62"/>
    </row>
    <row r="2389" spans="14:14">
      <c r="N2389" s="62"/>
    </row>
    <row r="2390" spans="14:14">
      <c r="N2390" s="62"/>
    </row>
    <row r="2391" spans="14:14">
      <c r="N2391" s="62"/>
    </row>
    <row r="2392" spans="14:14">
      <c r="N2392" s="62"/>
    </row>
    <row r="2393" spans="14:14">
      <c r="N2393" s="62"/>
    </row>
    <row r="2394" spans="14:14">
      <c r="N2394" s="62"/>
    </row>
    <row r="2395" spans="14:14">
      <c r="N2395" s="62"/>
    </row>
    <row r="2396" spans="14:14">
      <c r="N2396" s="62"/>
    </row>
    <row r="2397" spans="14:14">
      <c r="N2397" s="62"/>
    </row>
    <row r="2398" spans="14:14">
      <c r="N2398" s="62"/>
    </row>
    <row r="2399" spans="14:14">
      <c r="N2399" s="62"/>
    </row>
    <row r="2400" spans="14:14">
      <c r="N2400" s="62"/>
    </row>
    <row r="2401" spans="14:14">
      <c r="N2401" s="62"/>
    </row>
    <row r="2402" spans="14:14">
      <c r="N2402" s="62"/>
    </row>
    <row r="2403" spans="14:14">
      <c r="N2403" s="62"/>
    </row>
    <row r="2404" spans="14:14">
      <c r="N2404" s="62"/>
    </row>
    <row r="2405" spans="14:14">
      <c r="N2405" s="62"/>
    </row>
    <row r="2406" spans="14:14">
      <c r="N2406" s="62"/>
    </row>
    <row r="2407" spans="14:14">
      <c r="N2407" s="62"/>
    </row>
    <row r="2408" spans="14:14">
      <c r="N2408" s="62"/>
    </row>
    <row r="2409" spans="14:14">
      <c r="N2409" s="62"/>
    </row>
    <row r="2410" spans="14:14">
      <c r="N2410" s="62"/>
    </row>
    <row r="2411" spans="14:14">
      <c r="N2411" s="62"/>
    </row>
    <row r="2412" spans="14:14">
      <c r="N2412" s="62"/>
    </row>
    <row r="2413" spans="14:14">
      <c r="N2413" s="62"/>
    </row>
    <row r="2414" spans="14:14">
      <c r="N2414" s="62"/>
    </row>
    <row r="2415" spans="14:14">
      <c r="N2415" s="62"/>
    </row>
    <row r="2416" spans="14:14">
      <c r="N2416" s="62"/>
    </row>
    <row r="2417" spans="14:14">
      <c r="N2417" s="62"/>
    </row>
    <row r="2418" spans="14:14">
      <c r="N2418" s="62"/>
    </row>
    <row r="2419" spans="14:14">
      <c r="N2419" s="62"/>
    </row>
    <row r="2420" spans="14:14">
      <c r="N2420" s="62"/>
    </row>
    <row r="2421" spans="14:14">
      <c r="N2421" s="62"/>
    </row>
    <row r="2422" spans="14:14">
      <c r="N2422" s="62"/>
    </row>
    <row r="2423" spans="14:14">
      <c r="N2423" s="62"/>
    </row>
    <row r="2424" spans="14:14">
      <c r="N2424" s="62"/>
    </row>
    <row r="2425" spans="14:14">
      <c r="N2425" s="62"/>
    </row>
    <row r="2426" spans="14:14">
      <c r="N2426" s="62"/>
    </row>
    <row r="2427" spans="14:14">
      <c r="N2427" s="62"/>
    </row>
    <row r="2428" spans="14:14">
      <c r="N2428" s="62"/>
    </row>
    <row r="2429" spans="14:14">
      <c r="N2429" s="62"/>
    </row>
    <row r="2430" spans="14:14">
      <c r="N2430" s="62"/>
    </row>
    <row r="2431" spans="14:14">
      <c r="N2431" s="62"/>
    </row>
    <row r="2432" spans="14:14">
      <c r="N2432" s="62"/>
    </row>
    <row r="2433" spans="14:14">
      <c r="N2433" s="62"/>
    </row>
    <row r="2434" spans="14:14">
      <c r="N2434" s="62"/>
    </row>
    <row r="2435" spans="14:14">
      <c r="N2435" s="62"/>
    </row>
    <row r="2436" spans="14:14">
      <c r="N2436" s="62"/>
    </row>
    <row r="2437" spans="14:14">
      <c r="N2437" s="62"/>
    </row>
    <row r="2438" spans="14:14">
      <c r="N2438" s="62"/>
    </row>
    <row r="2439" spans="14:14">
      <c r="N2439" s="62"/>
    </row>
    <row r="2440" spans="14:14">
      <c r="N2440" s="62"/>
    </row>
    <row r="2441" spans="14:14">
      <c r="N2441" s="62"/>
    </row>
    <row r="2442" spans="14:14">
      <c r="N2442" s="62"/>
    </row>
    <row r="2443" spans="14:14">
      <c r="N2443" s="62"/>
    </row>
    <row r="2444" spans="14:14">
      <c r="N2444" s="62"/>
    </row>
    <row r="2445" spans="14:14">
      <c r="N2445" s="62"/>
    </row>
    <row r="2446" spans="14:14">
      <c r="N2446" s="62"/>
    </row>
    <row r="2447" spans="14:14">
      <c r="N2447" s="62"/>
    </row>
    <row r="2448" spans="14:14">
      <c r="N2448" s="62"/>
    </row>
    <row r="2449" spans="14:14">
      <c r="N2449" s="62"/>
    </row>
    <row r="2450" spans="14:14">
      <c r="N2450" s="62"/>
    </row>
    <row r="2451" spans="14:14">
      <c r="N2451" s="62"/>
    </row>
    <row r="2452" spans="14:14">
      <c r="N2452" s="62"/>
    </row>
    <row r="2453" spans="14:14">
      <c r="N2453" s="62"/>
    </row>
    <row r="2454" spans="14:14">
      <c r="N2454" s="62"/>
    </row>
    <row r="2455" spans="14:14">
      <c r="N2455" s="62"/>
    </row>
    <row r="2456" spans="14:14">
      <c r="N2456" s="62"/>
    </row>
    <row r="2457" spans="14:14">
      <c r="N2457" s="62"/>
    </row>
    <row r="2458" spans="14:14">
      <c r="N2458" s="62"/>
    </row>
    <row r="2459" spans="14:14">
      <c r="N2459" s="62"/>
    </row>
    <row r="2460" spans="14:14">
      <c r="N2460" s="62"/>
    </row>
    <row r="2461" spans="14:14">
      <c r="N2461" s="62"/>
    </row>
    <row r="2462" spans="14:14">
      <c r="N2462" s="62"/>
    </row>
    <row r="2463" spans="14:14">
      <c r="N2463" s="62"/>
    </row>
    <row r="2464" spans="14:14">
      <c r="N2464" s="62"/>
    </row>
    <row r="2465" spans="14:14">
      <c r="N2465" s="62"/>
    </row>
    <row r="2466" spans="14:14">
      <c r="N2466" s="62"/>
    </row>
    <row r="2467" spans="14:14">
      <c r="N2467" s="62"/>
    </row>
    <row r="2468" spans="14:14">
      <c r="N2468" s="62"/>
    </row>
    <row r="2469" spans="14:14">
      <c r="N2469" s="62"/>
    </row>
    <row r="2470" spans="14:14">
      <c r="N2470" s="62"/>
    </row>
    <row r="2471" spans="14:14">
      <c r="N2471" s="62"/>
    </row>
    <row r="2472" spans="14:14">
      <c r="N2472" s="62"/>
    </row>
    <row r="2473" spans="14:14">
      <c r="N2473" s="62"/>
    </row>
    <row r="2474" spans="14:14">
      <c r="N2474" s="62"/>
    </row>
    <row r="2475" spans="14:14">
      <c r="N2475" s="62"/>
    </row>
    <row r="2476" spans="14:14">
      <c r="N2476" s="62"/>
    </row>
    <row r="2477" spans="14:14">
      <c r="N2477" s="62"/>
    </row>
    <row r="2478" spans="14:14">
      <c r="N2478" s="62"/>
    </row>
    <row r="2479" spans="14:14">
      <c r="N2479" s="62"/>
    </row>
    <row r="2480" spans="14:14">
      <c r="N2480" s="62"/>
    </row>
    <row r="2481" spans="14:14">
      <c r="N2481" s="62"/>
    </row>
    <row r="2482" spans="14:14">
      <c r="N2482" s="62"/>
    </row>
    <row r="2483" spans="14:14">
      <c r="N2483" s="62"/>
    </row>
    <row r="2484" spans="14:14">
      <c r="N2484" s="62"/>
    </row>
    <row r="2485" spans="14:14">
      <c r="N2485" s="62"/>
    </row>
    <row r="2486" spans="14:14">
      <c r="N2486" s="62"/>
    </row>
    <row r="2487" spans="14:14">
      <c r="N2487" s="62"/>
    </row>
    <row r="2488" spans="14:14">
      <c r="N2488" s="62"/>
    </row>
    <row r="2489" spans="14:14">
      <c r="N2489" s="62"/>
    </row>
    <row r="2490" spans="14:14">
      <c r="N2490" s="62"/>
    </row>
    <row r="2491" spans="14:14">
      <c r="N2491" s="62"/>
    </row>
    <row r="2492" spans="14:14">
      <c r="N2492" s="62"/>
    </row>
    <row r="2493" spans="14:14">
      <c r="N2493" s="62"/>
    </row>
    <row r="2494" spans="14:14">
      <c r="N2494" s="62"/>
    </row>
    <row r="2495" spans="14:14">
      <c r="N2495" s="62"/>
    </row>
    <row r="2496" spans="14:14">
      <c r="N2496" s="62"/>
    </row>
    <row r="2497" spans="14:14">
      <c r="N2497" s="62"/>
    </row>
    <row r="2498" spans="14:14">
      <c r="N2498" s="62"/>
    </row>
    <row r="2499" spans="14:14">
      <c r="N2499" s="62"/>
    </row>
    <row r="2500" spans="14:14">
      <c r="N2500" s="62"/>
    </row>
    <row r="2501" spans="14:14">
      <c r="N2501" s="62"/>
    </row>
    <row r="2502" spans="14:14">
      <c r="N2502" s="62"/>
    </row>
    <row r="2503" spans="14:14">
      <c r="N2503" s="62"/>
    </row>
    <row r="2504" spans="14:14">
      <c r="N2504" s="62"/>
    </row>
    <row r="2505" spans="14:14">
      <c r="N2505" s="62"/>
    </row>
    <row r="2506" spans="14:14">
      <c r="N2506" s="62"/>
    </row>
    <row r="2507" spans="14:14">
      <c r="N2507" s="62"/>
    </row>
    <row r="2508" spans="14:14">
      <c r="N2508" s="62"/>
    </row>
    <row r="2509" spans="14:14">
      <c r="N2509" s="62"/>
    </row>
    <row r="2510" spans="14:14">
      <c r="N2510" s="62"/>
    </row>
    <row r="2511" spans="14:14">
      <c r="N2511" s="62"/>
    </row>
    <row r="2512" spans="14:14">
      <c r="N2512" s="62"/>
    </row>
    <row r="2513" spans="14:14">
      <c r="N2513" s="62"/>
    </row>
    <row r="2514" spans="14:14">
      <c r="N2514" s="62"/>
    </row>
    <row r="2515" spans="14:14">
      <c r="N2515" s="62"/>
    </row>
    <row r="2516" spans="14:14">
      <c r="N2516" s="62"/>
    </row>
    <row r="2517" spans="14:14">
      <c r="N2517" s="62"/>
    </row>
    <row r="2518" spans="14:14">
      <c r="N2518" s="62"/>
    </row>
    <row r="2519" spans="14:14">
      <c r="N2519" s="62"/>
    </row>
    <row r="2520" spans="14:14">
      <c r="N2520" s="62"/>
    </row>
    <row r="2521" spans="14:14">
      <c r="N2521" s="62"/>
    </row>
    <row r="2522" spans="14:14">
      <c r="N2522" s="62"/>
    </row>
    <row r="2523" spans="14:14">
      <c r="N2523" s="62"/>
    </row>
    <row r="2524" spans="14:14">
      <c r="N2524" s="62"/>
    </row>
    <row r="2525" spans="14:14">
      <c r="N2525" s="62"/>
    </row>
    <row r="2526" spans="14:14">
      <c r="N2526" s="62"/>
    </row>
    <row r="2527" spans="14:14">
      <c r="N2527" s="62"/>
    </row>
    <row r="2528" spans="14:14">
      <c r="N2528" s="62"/>
    </row>
    <row r="2529" spans="14:14">
      <c r="N2529" s="62"/>
    </row>
    <row r="2530" spans="14:14">
      <c r="N2530" s="62"/>
    </row>
    <row r="2531" spans="14:14">
      <c r="N2531" s="62"/>
    </row>
    <row r="2532" spans="14:14">
      <c r="N2532" s="62"/>
    </row>
    <row r="2533" spans="14:14">
      <c r="N2533" s="62"/>
    </row>
    <row r="2534" spans="14:14">
      <c r="N2534" s="62"/>
    </row>
    <row r="2535" spans="14:14">
      <c r="N2535" s="62"/>
    </row>
    <row r="2536" spans="14:14">
      <c r="N2536" s="62"/>
    </row>
    <row r="2537" spans="14:14">
      <c r="N2537" s="62"/>
    </row>
    <row r="2538" spans="14:14">
      <c r="N2538" s="62"/>
    </row>
    <row r="2539" spans="14:14">
      <c r="N2539" s="62"/>
    </row>
    <row r="2540" spans="14:14">
      <c r="N2540" s="62"/>
    </row>
    <row r="2541" spans="14:14">
      <c r="N2541" s="62"/>
    </row>
    <row r="2542" spans="14:14">
      <c r="N2542" s="62"/>
    </row>
    <row r="2543" spans="14:14">
      <c r="N2543" s="62"/>
    </row>
    <row r="2544" spans="14:14">
      <c r="N2544" s="62"/>
    </row>
    <row r="2545" spans="14:14">
      <c r="N2545" s="62"/>
    </row>
    <row r="2546" spans="14:14">
      <c r="N2546" s="62"/>
    </row>
    <row r="2547" spans="14:14">
      <c r="N2547" s="62"/>
    </row>
    <row r="2548" spans="14:14">
      <c r="N2548" s="62"/>
    </row>
    <row r="2549" spans="14:14">
      <c r="N2549" s="62"/>
    </row>
    <row r="2550" spans="14:14">
      <c r="N2550" s="62"/>
    </row>
    <row r="2551" spans="14:14">
      <c r="N2551" s="62"/>
    </row>
    <row r="2552" spans="14:14">
      <c r="N2552" s="62"/>
    </row>
    <row r="2553" spans="14:14">
      <c r="N2553" s="62"/>
    </row>
    <row r="2554" spans="14:14">
      <c r="N2554" s="62"/>
    </row>
    <row r="2555" spans="14:14">
      <c r="N2555" s="62"/>
    </row>
    <row r="2556" spans="14:14">
      <c r="N2556" s="62"/>
    </row>
    <row r="2557" spans="14:14">
      <c r="N2557" s="62"/>
    </row>
    <row r="2558" spans="14:14">
      <c r="N2558" s="62"/>
    </row>
    <row r="2559" spans="14:14">
      <c r="N2559" s="62"/>
    </row>
    <row r="2560" spans="14:14">
      <c r="N2560" s="62"/>
    </row>
    <row r="2561" spans="14:14">
      <c r="N2561" s="62"/>
    </row>
    <row r="2562" spans="14:14">
      <c r="N2562" s="62"/>
    </row>
    <row r="2563" spans="14:14">
      <c r="N2563" s="62"/>
    </row>
    <row r="2564" spans="14:14">
      <c r="N2564" s="62"/>
    </row>
    <row r="2565" spans="14:14">
      <c r="N2565" s="62"/>
    </row>
    <row r="2566" spans="14:14">
      <c r="N2566" s="62"/>
    </row>
    <row r="2567" spans="14:14">
      <c r="N2567" s="62"/>
    </row>
    <row r="2568" spans="14:14">
      <c r="N2568" s="62"/>
    </row>
    <row r="2569" spans="14:14">
      <c r="N2569" s="62"/>
    </row>
    <row r="2570" spans="14:14">
      <c r="N2570" s="62"/>
    </row>
    <row r="2571" spans="14:14">
      <c r="N2571" s="62"/>
    </row>
    <row r="2572" spans="14:14">
      <c r="N2572" s="62"/>
    </row>
    <row r="2573" spans="14:14">
      <c r="N2573" s="62"/>
    </row>
    <row r="2574" spans="14:14">
      <c r="N2574" s="62"/>
    </row>
    <row r="2575" spans="14:14">
      <c r="N2575" s="62"/>
    </row>
    <row r="2576" spans="14:14">
      <c r="N2576" s="62"/>
    </row>
    <row r="2577" spans="14:14">
      <c r="N2577" s="62"/>
    </row>
    <row r="2578" spans="14:14">
      <c r="N2578" s="62"/>
    </row>
    <row r="2579" spans="14:14">
      <c r="N2579" s="62"/>
    </row>
    <row r="2580" spans="14:14">
      <c r="N2580" s="62"/>
    </row>
    <row r="2581" spans="14:14">
      <c r="N2581" s="62"/>
    </row>
    <row r="2582" spans="14:14">
      <c r="N2582" s="62"/>
    </row>
    <row r="2583" spans="14:14">
      <c r="N2583" s="62"/>
    </row>
    <row r="2584" spans="14:14">
      <c r="N2584" s="62"/>
    </row>
    <row r="2585" spans="14:14">
      <c r="N2585" s="62"/>
    </row>
    <row r="2586" spans="14:14">
      <c r="N2586" s="62"/>
    </row>
    <row r="2587" spans="14:14">
      <c r="N2587" s="62"/>
    </row>
    <row r="2588" spans="14:14">
      <c r="N2588" s="62"/>
    </row>
    <row r="2589" spans="14:14">
      <c r="N2589" s="62"/>
    </row>
    <row r="2590" spans="14:14">
      <c r="N2590" s="62"/>
    </row>
    <row r="2591" spans="14:14">
      <c r="N2591" s="62"/>
    </row>
    <row r="2592" spans="14:14">
      <c r="N2592" s="62"/>
    </row>
    <row r="2593" spans="14:14">
      <c r="N2593" s="62"/>
    </row>
    <row r="2594" spans="14:14">
      <c r="N2594" s="62"/>
    </row>
    <row r="2595" spans="14:14">
      <c r="N2595" s="62"/>
    </row>
    <row r="2596" spans="14:14">
      <c r="N2596" s="62"/>
    </row>
    <row r="2597" spans="14:14">
      <c r="N2597" s="62"/>
    </row>
    <row r="2598" spans="14:14">
      <c r="N2598" s="62"/>
    </row>
    <row r="2599" spans="14:14">
      <c r="N2599" s="62"/>
    </row>
    <row r="2600" spans="14:14">
      <c r="N2600" s="62"/>
    </row>
    <row r="2601" spans="14:14">
      <c r="N2601" s="62"/>
    </row>
    <row r="2602" spans="14:14">
      <c r="N2602" s="62"/>
    </row>
    <row r="2603" spans="14:14">
      <c r="N2603" s="62"/>
    </row>
    <row r="2604" spans="14:14">
      <c r="N2604" s="62"/>
    </row>
    <row r="2605" spans="14:14">
      <c r="N2605" s="62"/>
    </row>
    <row r="2606" spans="14:14">
      <c r="N2606" s="62"/>
    </row>
    <row r="2607" spans="14:14">
      <c r="N2607" s="62"/>
    </row>
    <row r="2608" spans="14:14">
      <c r="N2608" s="62"/>
    </row>
    <row r="2609" spans="14:14">
      <c r="N2609" s="62"/>
    </row>
    <row r="2610" spans="14:14">
      <c r="N2610" s="62"/>
    </row>
    <row r="2611" spans="14:14">
      <c r="N2611" s="62"/>
    </row>
    <row r="2612" spans="14:14">
      <c r="N2612" s="62"/>
    </row>
    <row r="2613" spans="14:14">
      <c r="N2613" s="62"/>
    </row>
    <row r="2614" spans="14:14">
      <c r="N2614" s="62"/>
    </row>
    <row r="2615" spans="14:14">
      <c r="N2615" s="62"/>
    </row>
    <row r="2616" spans="14:14">
      <c r="N2616" s="62"/>
    </row>
    <row r="2617" spans="14:14">
      <c r="N2617" s="62"/>
    </row>
    <row r="2618" spans="14:14">
      <c r="N2618" s="62"/>
    </row>
    <row r="2619" spans="14:14">
      <c r="N2619" s="62"/>
    </row>
    <row r="2620" spans="14:14">
      <c r="N2620" s="62"/>
    </row>
    <row r="2621" spans="14:14">
      <c r="N2621" s="62"/>
    </row>
    <row r="2622" spans="14:14">
      <c r="N2622" s="62"/>
    </row>
    <row r="2623" spans="14:14">
      <c r="N2623" s="62"/>
    </row>
    <row r="2624" spans="14:14">
      <c r="N2624" s="62"/>
    </row>
    <row r="2625" spans="14:14">
      <c r="N2625" s="62"/>
    </row>
    <row r="2626" spans="14:14">
      <c r="N2626" s="62"/>
    </row>
    <row r="2627" spans="14:14">
      <c r="N2627" s="62"/>
    </row>
    <row r="2628" spans="14:14">
      <c r="N2628" s="62"/>
    </row>
    <row r="2629" spans="14:14">
      <c r="N2629" s="62"/>
    </row>
    <row r="2630" spans="14:14">
      <c r="N2630" s="62"/>
    </row>
    <row r="2631" spans="14:14">
      <c r="N2631" s="62"/>
    </row>
    <row r="2632" spans="14:14">
      <c r="N2632" s="62"/>
    </row>
    <row r="2633" spans="14:14">
      <c r="N2633" s="62"/>
    </row>
    <row r="2634" spans="14:14">
      <c r="N2634" s="62"/>
    </row>
    <row r="2635" spans="14:14">
      <c r="N2635" s="62"/>
    </row>
    <row r="2636" spans="14:14">
      <c r="N2636" s="62"/>
    </row>
    <row r="2637" spans="14:14">
      <c r="N2637" s="62"/>
    </row>
    <row r="2638" spans="14:14">
      <c r="N2638" s="62"/>
    </row>
    <row r="2639" spans="14:14">
      <c r="N2639" s="62"/>
    </row>
    <row r="2640" spans="14:14">
      <c r="N2640" s="62"/>
    </row>
    <row r="2641" spans="14:14">
      <c r="N2641" s="62"/>
    </row>
    <row r="2642" spans="14:14">
      <c r="N2642" s="62"/>
    </row>
    <row r="2643" spans="14:14">
      <c r="N2643" s="62"/>
    </row>
    <row r="2644" spans="14:14">
      <c r="N2644" s="62"/>
    </row>
    <row r="2645" spans="14:14">
      <c r="N2645" s="62"/>
    </row>
    <row r="2646" spans="14:14">
      <c r="N2646" s="62"/>
    </row>
    <row r="2647" spans="14:14">
      <c r="N2647" s="62"/>
    </row>
    <row r="2648" spans="14:14">
      <c r="N2648" s="62"/>
    </row>
    <row r="2649" spans="14:14">
      <c r="N2649" s="62"/>
    </row>
    <row r="2650" spans="14:14">
      <c r="N2650" s="62"/>
    </row>
    <row r="2651" spans="14:14">
      <c r="N2651" s="62"/>
    </row>
    <row r="2652" spans="14:14">
      <c r="N2652" s="62"/>
    </row>
    <row r="2653" spans="14:14">
      <c r="N2653" s="62"/>
    </row>
    <row r="2654" spans="14:14">
      <c r="N2654" s="62"/>
    </row>
    <row r="2655" spans="14:14">
      <c r="N2655" s="62"/>
    </row>
    <row r="2656" spans="14:14">
      <c r="N2656" s="62"/>
    </row>
    <row r="2657" spans="14:14">
      <c r="N2657" s="62"/>
    </row>
    <row r="2658" spans="14:14">
      <c r="N2658" s="62"/>
    </row>
    <row r="2659" spans="14:14">
      <c r="N2659" s="62"/>
    </row>
    <row r="2660" spans="14:14">
      <c r="N2660" s="62"/>
    </row>
    <row r="2661" spans="14:14">
      <c r="N2661" s="62"/>
    </row>
    <row r="2662" spans="14:14">
      <c r="N2662" s="62"/>
    </row>
    <row r="2663" spans="14:14">
      <c r="N2663" s="62"/>
    </row>
  </sheetData>
  <autoFilter ref="A1:AV158" xr:uid="{00000000-0001-0000-0100-000000000000}">
    <filterColumn colId="40" showButton="0"/>
    <filterColumn colId="41" showButton="0"/>
    <filterColumn colId="42" showButton="0"/>
    <filterColumn colId="43" showButton="0"/>
    <filterColumn colId="44" showButton="0"/>
    <filterColumn colId="45" showButton="0"/>
  </autoFilter>
  <mergeCells count="35">
    <mergeCell ref="E1:E2"/>
    <mergeCell ref="D1:D2"/>
    <mergeCell ref="C1:C2"/>
    <mergeCell ref="B1:B2"/>
    <mergeCell ref="A1:A2"/>
    <mergeCell ref="F1:F2"/>
    <mergeCell ref="Q1:Q2"/>
    <mergeCell ref="P1:P2"/>
    <mergeCell ref="O1:O2"/>
    <mergeCell ref="N1:N2"/>
    <mergeCell ref="M1:M2"/>
    <mergeCell ref="L1:L2"/>
    <mergeCell ref="K1:K2"/>
    <mergeCell ref="J1:J2"/>
    <mergeCell ref="I1:I2"/>
    <mergeCell ref="H1:H2"/>
    <mergeCell ref="G1:G2"/>
    <mergeCell ref="R1:R2"/>
    <mergeCell ref="AI1:AI2"/>
    <mergeCell ref="AH1:AH2"/>
    <mergeCell ref="AG1:AG2"/>
    <mergeCell ref="AF1:AF2"/>
    <mergeCell ref="AE1:AE2"/>
    <mergeCell ref="AD1:AD2"/>
    <mergeCell ref="AC1:AC2"/>
    <mergeCell ref="V1:V2"/>
    <mergeCell ref="U1:U2"/>
    <mergeCell ref="T1:T2"/>
    <mergeCell ref="S1:S2"/>
    <mergeCell ref="AJ1:AJ2"/>
    <mergeCell ref="AO1:AU1"/>
    <mergeCell ref="AN1:AN2"/>
    <mergeCell ref="AM1:AM2"/>
    <mergeCell ref="AL1:AL2"/>
    <mergeCell ref="AK1:AK2"/>
  </mergeCells>
  <phoneticPr fontId="11" type="noConversion"/>
  <hyperlinks>
    <hyperlink ref="AA44" r:id="rId1" location="AUTOMIC:0100@pa/view/SCD.PACE.REFRESH.EARLY&amp;id=1023269&amp;src=oh&amp;type=JOBP&amp;editable=false&amp;navigation=default" display="http://awpiuc4awiapp01.prod.hoopp.cloud:8080/awi/ - AUTOMIC:0100@pa/view/SCD.PACE.REFRESH.EARLY&amp;id=1023269&amp;src=oh&amp;type=JOBP&amp;editable=false&amp;navigation=default" xr:uid="{BFF775A9-99B8-4A20-A296-4339665AFDF0}"/>
    <hyperlink ref="AA38" r:id="rId2" location="AUTOMIC:0100@pa/view/REQUEST.BBPS_FX&amp;id=1026006&amp;src=oh&amp;type=JOBP&amp;editable=false&amp;navigation=default" display="http://awpiuc4awiapp01.prod.hoopp.cloud:8080/awi/ - AUTOMIC:0100@pa/view/REQUEST.BBPS_FX&amp;id=1026006&amp;src=oh&amp;type=JOBP&amp;editable=false&amp;navigation=default" xr:uid="{58D69DC0-834C-4886-B293-76054970EFB7}"/>
    <hyperlink ref="AA39" r:id="rId3" location="AUTOMIC:0100@pa/view/RETURN.BBPS_FX&amp;id=1023888&amp;src=oh&amp;type=JOBP&amp;editable=false&amp;navigation=default" display="http://awpiuc4awiapp01.prod.hoopp.cloud:8080/awi/ - AUTOMIC:0100@pa/view/RETURN.BBPS_FX&amp;id=1023888&amp;src=oh&amp;type=JOBP&amp;editable=false&amp;navigation=default" xr:uid="{DC6E9C76-7C03-4BE9-B794-FDC7EDD766FD}"/>
    <hyperlink ref="AI21" r:id="rId4" display="goldensourceoperations@hoopp.com for now HOOPP To CHECK WITH VENDOR. " xr:uid="{33112410-1728-4491-B683-6BED9D972886}"/>
    <hyperlink ref="AI41" r:id="rId5" xr:uid="{FB7B3243-85B4-4022-B26C-27BB7783EFE7}"/>
    <hyperlink ref="AA46" r:id="rId6" location="AUTOMIC:0100@pa/view/REQUEST.BBPS_FX&amp;id=1026006&amp;src=oh&amp;type=JOBP&amp;editable=false&amp;navigation=default" display="http://awpiuc4awiapp01.prod.hoopp.cloud:8080/awi/ - AUTOMIC:0100@pa/view/REQUEST.BBPS_FX&amp;id=1026006&amp;src=oh&amp;type=JOBP&amp;editable=false&amp;navigation=default" xr:uid="{51253BF6-131E-4FC7-B82D-A870F3BCCDD1}"/>
    <hyperlink ref="AA47" r:id="rId7" location="AUTOMIC:0100@pa/view/RETURN.BBPS_FX&amp;id=1023888&amp;src=oh&amp;type=JOBP&amp;editable=false&amp;navigation=default" display="http://awpiuc4awiapp01.prod.hoopp.cloud:8080/awi/ - AUTOMIC:0100@pa/view/RETURN.BBPS_FX&amp;id=1023888&amp;src=oh&amp;type=JOBP&amp;editable=false&amp;navigation=default" xr:uid="{388E2C2D-6A84-46B7-9043-64B171532C9E}"/>
    <hyperlink ref="AA49" r:id="rId8" location="AUTOMIC:0100@pa/view/REQUEST.BBPS_FX&amp;id=1026006&amp;src=oh&amp;type=JOBP&amp;editable=false&amp;navigation=default" display="http://awpiuc4awiapp01.prod.hoopp.cloud:8080/awi/ - AUTOMIC:0100@pa/view/REQUEST.BBPS_FX&amp;id=1026006&amp;src=oh&amp;type=JOBP&amp;editable=false&amp;navigation=default" xr:uid="{0BE5E02E-D5B8-4F0A-8460-DC3A85B6823B}"/>
    <hyperlink ref="AA50" r:id="rId9" location="AUTOMIC:0100@pa/view/RETURN.BBPS_FX&amp;id=1023888&amp;src=oh&amp;type=JOBP&amp;editable=false&amp;navigation=default" display="http://awpiuc4awiapp01.prod.hoopp.cloud:8080/awi/ - AUTOMIC:0100@pa/view/RETURN.BBPS_FX&amp;id=1023888&amp;src=oh&amp;type=JOBP&amp;editable=false&amp;navigation=default" xr:uid="{03F4CE65-BDB4-4A97-B948-E19CA9CCB5DE}"/>
    <hyperlink ref="AI26" r:id="rId10" display="goldensourceoperations@hoopp.com for now HOOPP To CHECK INTERNALLY" xr:uid="{26C43C44-38CD-426B-95F1-2A62D66C19F6}"/>
    <hyperlink ref="AI37" r:id="rId11" display="goldensourceoperations@hoopp.com for now HOOPP To CHECK INTERNALLY" xr:uid="{62328FBD-0353-4729-9C24-F25B653B67FF}"/>
    <hyperlink ref="AI44" r:id="rId12" display="goldensourceoperations@hoopp.com for now HOOPP To CHECK INTERNALLY" xr:uid="{A3D95413-949E-4684-B457-169D09A41F03}"/>
    <hyperlink ref="AI64" r:id="rId13" display="goldensourceoperations@hoopp.com for now HOOPP To CHECK INTERNALLY" xr:uid="{D334FEB1-38D7-4477-90A1-89C1AE50B18E}"/>
    <hyperlink ref="AI22" r:id="rId14" display="goldensourceoperations@hoopp.com for now HOOPP To CHECK WITH VENDOR. " xr:uid="{5671CA12-E900-4AC7-B52C-3445C847C4CD}"/>
    <hyperlink ref="AI24:AI25" r:id="rId15" display="goldensourceoperations@hoopp.com for now HOOPP To CHECK WITH VENDOR. " xr:uid="{EBEDF536-6347-4E6A-B9E3-64FEDA818DF0}"/>
    <hyperlink ref="AI77" r:id="rId16" xr:uid="{F51AFFC2-6A09-4D54-97DB-9C4098E0DBC4}"/>
    <hyperlink ref="AI60" r:id="rId17" display="Michael.Stone@ihsmarkit.com" xr:uid="{A2EF994B-B009-4D91-A029-DE73A571C221}"/>
  </hyperlinks>
  <pageMargins left="0.7" right="0.7" top="0.75" bottom="0.75" header="0.3" footer="0.3"/>
  <pageSetup orientation="portrait" r:id="rId18"/>
  <legacyDrawing r:id="rId1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8CBAD-E079-4D62-B424-226620B79DE3}">
  <dimension ref="A1:Q26"/>
  <sheetViews>
    <sheetView zoomScale="106" zoomScaleNormal="106" workbookViewId="0">
      <pane ySplit="1" topLeftCell="A19" activePane="bottomLeft" state="frozen"/>
      <selection pane="bottomLeft" activeCell="B26" sqref="B26"/>
    </sheetView>
  </sheetViews>
  <sheetFormatPr defaultRowHeight="15"/>
  <cols>
    <col min="1" max="1" width="18.28515625" customWidth="1"/>
    <col min="2" max="2" width="10.5703125" bestFit="1" customWidth="1"/>
    <col min="5" max="5" width="8.5703125" customWidth="1"/>
    <col min="6" max="6" width="26.42578125" bestFit="1" customWidth="1"/>
    <col min="9" max="9" width="11.5703125" customWidth="1"/>
    <col min="11" max="11" width="10.28515625" customWidth="1"/>
    <col min="12" max="12" width="13.5703125" style="47" customWidth="1"/>
    <col min="13" max="13" width="45.42578125" customWidth="1"/>
    <col min="14" max="14" width="25" customWidth="1"/>
    <col min="15" max="15" width="24.28515625" bestFit="1" customWidth="1"/>
    <col min="16" max="16" width="30.42578125" style="47" customWidth="1"/>
    <col min="17" max="17" width="23.7109375" customWidth="1"/>
  </cols>
  <sheetData>
    <row r="1" spans="1:17" ht="39">
      <c r="A1" t="s">
        <v>579</v>
      </c>
      <c r="B1" s="129" t="s">
        <v>580</v>
      </c>
      <c r="C1" s="159" t="s">
        <v>87</v>
      </c>
      <c r="D1" s="159" t="s">
        <v>89</v>
      </c>
      <c r="E1" s="159" t="s">
        <v>581</v>
      </c>
      <c r="F1" s="159" t="s">
        <v>582</v>
      </c>
      <c r="G1" s="159" t="s">
        <v>583</v>
      </c>
      <c r="H1" s="159" t="s">
        <v>584</v>
      </c>
      <c r="I1" s="159" t="s">
        <v>585</v>
      </c>
      <c r="J1" s="159" t="s">
        <v>586</v>
      </c>
      <c r="K1" s="159" t="s">
        <v>587</v>
      </c>
      <c r="L1" s="160" t="s">
        <v>588</v>
      </c>
      <c r="M1" s="160" t="s">
        <v>589</v>
      </c>
      <c r="N1" s="160" t="s">
        <v>590</v>
      </c>
      <c r="O1" s="228" t="s">
        <v>591</v>
      </c>
      <c r="P1" s="229" t="s">
        <v>592</v>
      </c>
    </row>
    <row r="2" spans="1:17">
      <c r="A2" t="s">
        <v>178</v>
      </c>
      <c r="B2" s="161" t="s">
        <v>178</v>
      </c>
      <c r="C2" s="162">
        <v>0.70833333333333337</v>
      </c>
      <c r="D2" s="162">
        <f>C2+Summary!$C$30/24</f>
        <v>1.1041666666666667</v>
      </c>
      <c r="E2" s="161" t="s">
        <v>14</v>
      </c>
      <c r="F2" s="161" t="s">
        <v>593</v>
      </c>
      <c r="G2" s="163" t="s">
        <v>10</v>
      </c>
      <c r="H2" s="163" t="s">
        <v>10</v>
      </c>
      <c r="I2" s="163" t="s">
        <v>10</v>
      </c>
      <c r="J2" s="163" t="s">
        <v>10</v>
      </c>
      <c r="K2" s="163" t="s">
        <v>10</v>
      </c>
      <c r="L2" s="179" t="s">
        <v>594</v>
      </c>
      <c r="M2" s="163" t="s">
        <v>594</v>
      </c>
      <c r="N2" s="163" t="s">
        <v>594</v>
      </c>
      <c r="O2" s="163" t="s">
        <v>595</v>
      </c>
      <c r="P2" s="230"/>
    </row>
    <row r="3" spans="1:17">
      <c r="A3" t="s">
        <v>178</v>
      </c>
      <c r="B3" s="161" t="s">
        <v>178</v>
      </c>
      <c r="C3" s="162">
        <v>0.75</v>
      </c>
      <c r="D3" s="162">
        <f>C3+Summary!$C$30/24</f>
        <v>1.1458333333333333</v>
      </c>
      <c r="E3" s="161" t="s">
        <v>10</v>
      </c>
      <c r="F3" s="161" t="s">
        <v>61</v>
      </c>
      <c r="G3" s="163" t="s">
        <v>10</v>
      </c>
      <c r="H3" s="163" t="s">
        <v>10</v>
      </c>
      <c r="I3" s="161" t="s">
        <v>14</v>
      </c>
      <c r="J3" s="161" t="s">
        <v>14</v>
      </c>
      <c r="K3" s="161" t="s">
        <v>14</v>
      </c>
      <c r="L3" s="164"/>
      <c r="M3" s="161"/>
      <c r="N3" s="161"/>
      <c r="O3" s="161" t="s">
        <v>596</v>
      </c>
      <c r="P3" s="230"/>
    </row>
    <row r="4" spans="1:17">
      <c r="A4" t="s">
        <v>178</v>
      </c>
      <c r="B4" s="161" t="s">
        <v>597</v>
      </c>
      <c r="C4" s="162">
        <v>0.75</v>
      </c>
      <c r="D4" s="162">
        <f>C4+Summary!$C$30/24</f>
        <v>1.1458333333333333</v>
      </c>
      <c r="E4" s="161" t="s">
        <v>14</v>
      </c>
      <c r="F4" s="161" t="s">
        <v>598</v>
      </c>
      <c r="G4" s="163" t="s">
        <v>10</v>
      </c>
      <c r="H4" s="163" t="s">
        <v>14</v>
      </c>
      <c r="I4" s="161"/>
      <c r="J4" s="161"/>
      <c r="K4" s="161"/>
      <c r="L4" s="164"/>
      <c r="M4" s="161"/>
      <c r="N4" s="161"/>
      <c r="O4" s="161" t="s">
        <v>599</v>
      </c>
      <c r="P4" s="230"/>
    </row>
    <row r="5" spans="1:17" ht="45">
      <c r="A5" t="s">
        <v>178</v>
      </c>
      <c r="B5" s="161" t="s">
        <v>178</v>
      </c>
      <c r="C5" s="162">
        <v>0.8125</v>
      </c>
      <c r="D5" s="162">
        <f>C5+Summary!$C$30/24</f>
        <v>1.2083333333333333</v>
      </c>
      <c r="E5" s="161" t="s">
        <v>14</v>
      </c>
      <c r="F5" s="161" t="s">
        <v>65</v>
      </c>
      <c r="G5" s="163" t="s">
        <v>10</v>
      </c>
      <c r="H5" s="163" t="s">
        <v>10</v>
      </c>
      <c r="I5" s="161" t="s">
        <v>14</v>
      </c>
      <c r="J5" s="161" t="s">
        <v>14</v>
      </c>
      <c r="K5" s="161" t="s">
        <v>14</v>
      </c>
      <c r="L5" s="164" t="s">
        <v>600</v>
      </c>
      <c r="M5" s="161"/>
      <c r="N5" s="161"/>
      <c r="O5" s="161"/>
      <c r="P5" s="230"/>
    </row>
    <row r="6" spans="1:17">
      <c r="A6" t="s">
        <v>178</v>
      </c>
      <c r="B6" s="161" t="s">
        <v>178</v>
      </c>
      <c r="C6" s="162">
        <v>0.82291666666666663</v>
      </c>
      <c r="D6" s="162">
        <f>C6+Summary!$C$30/24</f>
        <v>1.21875</v>
      </c>
      <c r="E6" s="161"/>
      <c r="F6" s="161" t="s">
        <v>601</v>
      </c>
      <c r="G6" s="161" t="s">
        <v>14</v>
      </c>
      <c r="H6" s="161"/>
      <c r="I6" s="163" t="s">
        <v>10</v>
      </c>
      <c r="J6" s="163" t="s">
        <v>10</v>
      </c>
      <c r="K6" s="163" t="s">
        <v>10</v>
      </c>
      <c r="L6" s="164"/>
      <c r="M6" s="164" t="s">
        <v>602</v>
      </c>
      <c r="N6" s="163" t="s">
        <v>603</v>
      </c>
      <c r="O6" s="161"/>
      <c r="P6" s="230"/>
    </row>
    <row r="7" spans="1:17" ht="75">
      <c r="A7" t="s">
        <v>178</v>
      </c>
      <c r="B7" s="161" t="s">
        <v>178</v>
      </c>
      <c r="C7" s="162">
        <v>0.95833333333333337</v>
      </c>
      <c r="D7" s="162">
        <f>C7+Summary!$C$30/24</f>
        <v>1.3541666666666667</v>
      </c>
      <c r="E7" s="161" t="s">
        <v>14</v>
      </c>
      <c r="F7" s="161" t="s">
        <v>598</v>
      </c>
      <c r="G7" s="163" t="s">
        <v>10</v>
      </c>
      <c r="H7" s="163" t="s">
        <v>14</v>
      </c>
      <c r="I7" s="161" t="s">
        <v>14</v>
      </c>
      <c r="J7" s="161" t="s">
        <v>14</v>
      </c>
      <c r="K7" s="161" t="s">
        <v>14</v>
      </c>
      <c r="L7" s="164"/>
      <c r="M7" s="161"/>
      <c r="N7" s="161"/>
      <c r="O7" s="164" t="s">
        <v>604</v>
      </c>
      <c r="P7" s="230"/>
    </row>
    <row r="8" spans="1:17">
      <c r="A8" t="s">
        <v>129</v>
      </c>
      <c r="B8" s="161" t="s">
        <v>597</v>
      </c>
      <c r="C8" s="162">
        <v>2.7777777777777776E-2</v>
      </c>
      <c r="D8" s="162">
        <f>C8+Summary!$C$30/24</f>
        <v>0.4236111111111111</v>
      </c>
      <c r="E8" s="161" t="s">
        <v>10</v>
      </c>
      <c r="F8" s="161" t="s">
        <v>605</v>
      </c>
      <c r="G8" s="163" t="s">
        <v>10</v>
      </c>
      <c r="H8" s="163" t="s">
        <v>606</v>
      </c>
      <c r="I8" s="163" t="s">
        <v>10</v>
      </c>
      <c r="J8" s="163" t="s">
        <v>10</v>
      </c>
      <c r="K8" s="163" t="s">
        <v>10</v>
      </c>
      <c r="L8" s="179" t="s">
        <v>398</v>
      </c>
      <c r="M8" s="163" t="s">
        <v>607</v>
      </c>
      <c r="N8" s="163" t="s">
        <v>608</v>
      </c>
      <c r="O8" s="163"/>
      <c r="P8" s="8"/>
    </row>
    <row r="9" spans="1:17">
      <c r="A9" t="s">
        <v>178</v>
      </c>
      <c r="B9" t="s">
        <v>178</v>
      </c>
      <c r="C9" s="222">
        <v>0.84722222222222221</v>
      </c>
      <c r="E9" s="233" t="s">
        <v>10</v>
      </c>
      <c r="F9" s="161" t="s">
        <v>609</v>
      </c>
      <c r="G9" s="163" t="s">
        <v>10</v>
      </c>
      <c r="H9" s="163" t="s">
        <v>10</v>
      </c>
      <c r="I9" s="161" t="s">
        <v>14</v>
      </c>
      <c r="J9" s="163" t="s">
        <v>10</v>
      </c>
      <c r="K9" s="163" t="s">
        <v>10</v>
      </c>
      <c r="M9" s="224" t="s">
        <v>610</v>
      </c>
      <c r="N9" s="224" t="s">
        <v>610</v>
      </c>
      <c r="P9" s="8" t="s">
        <v>611</v>
      </c>
    </row>
    <row r="10" spans="1:17">
      <c r="A10" t="s">
        <v>178</v>
      </c>
      <c r="B10" t="s">
        <v>178</v>
      </c>
      <c r="C10" s="222">
        <v>0.85416666666666663</v>
      </c>
      <c r="E10" s="233" t="s">
        <v>10</v>
      </c>
      <c r="F10" s="161" t="s">
        <v>67</v>
      </c>
      <c r="G10" s="163" t="s">
        <v>10</v>
      </c>
      <c r="H10" s="163" t="s">
        <v>10</v>
      </c>
      <c r="I10" s="163" t="s">
        <v>10</v>
      </c>
      <c r="J10" s="163" t="s">
        <v>10</v>
      </c>
      <c r="K10" s="163" t="s">
        <v>10</v>
      </c>
      <c r="M10" s="223" t="s">
        <v>612</v>
      </c>
      <c r="N10" s="223" t="s">
        <v>612</v>
      </c>
      <c r="P10" s="8" t="s">
        <v>613</v>
      </c>
    </row>
    <row r="11" spans="1:17" ht="45">
      <c r="A11" t="s">
        <v>178</v>
      </c>
      <c r="B11" t="s">
        <v>178</v>
      </c>
      <c r="C11" s="222">
        <v>0.9375</v>
      </c>
      <c r="E11" s="233" t="s">
        <v>10</v>
      </c>
      <c r="F11" s="164" t="s">
        <v>67</v>
      </c>
      <c r="G11" s="163" t="s">
        <v>10</v>
      </c>
      <c r="H11" s="163" t="s">
        <v>10</v>
      </c>
      <c r="I11" s="161" t="s">
        <v>14</v>
      </c>
      <c r="J11" s="163" t="s">
        <v>10</v>
      </c>
      <c r="K11" s="163" t="s">
        <v>10</v>
      </c>
      <c r="M11" s="265" t="s">
        <v>614</v>
      </c>
      <c r="N11" s="223"/>
      <c r="P11" s="235" t="s">
        <v>615</v>
      </c>
    </row>
    <row r="12" spans="1:17" ht="30">
      <c r="A12" s="237" t="s">
        <v>178</v>
      </c>
      <c r="B12" s="237" t="s">
        <v>178</v>
      </c>
      <c r="C12" s="238">
        <v>0.9375</v>
      </c>
      <c r="D12" s="237"/>
      <c r="E12" s="239" t="s">
        <v>10</v>
      </c>
      <c r="F12" s="240" t="s">
        <v>616</v>
      </c>
      <c r="G12" s="241" t="s">
        <v>10</v>
      </c>
      <c r="H12" s="241" t="s">
        <v>10</v>
      </c>
      <c r="I12" s="242" t="s">
        <v>14</v>
      </c>
      <c r="J12" s="241" t="s">
        <v>10</v>
      </c>
      <c r="K12" s="241" t="s">
        <v>10</v>
      </c>
      <c r="L12" s="243"/>
      <c r="M12" s="244" t="s">
        <v>617</v>
      </c>
      <c r="N12" s="244" t="s">
        <v>617</v>
      </c>
      <c r="O12" s="237"/>
      <c r="P12" s="235" t="s">
        <v>618</v>
      </c>
    </row>
    <row r="13" spans="1:17">
      <c r="A13" t="s">
        <v>129</v>
      </c>
      <c r="B13" s="161" t="s">
        <v>597</v>
      </c>
      <c r="C13" s="222">
        <v>6.25E-2</v>
      </c>
      <c r="E13" s="233" t="s">
        <v>10</v>
      </c>
      <c r="F13" s="164" t="s">
        <v>619</v>
      </c>
      <c r="G13" s="163" t="s">
        <v>10</v>
      </c>
      <c r="H13" s="163" t="s">
        <v>10</v>
      </c>
      <c r="I13" s="163" t="s">
        <v>10</v>
      </c>
      <c r="J13" s="163" t="s">
        <v>10</v>
      </c>
      <c r="K13" s="163" t="s">
        <v>10</v>
      </c>
      <c r="M13" s="224" t="s">
        <v>610</v>
      </c>
      <c r="N13" s="224" t="s">
        <v>610</v>
      </c>
      <c r="P13" s="8" t="s">
        <v>620</v>
      </c>
      <c r="Q13" s="1170" t="s">
        <v>621</v>
      </c>
    </row>
    <row r="14" spans="1:17">
      <c r="A14" t="s">
        <v>129</v>
      </c>
      <c r="B14" s="161" t="s">
        <v>597</v>
      </c>
      <c r="C14" s="222">
        <v>6.25E-2</v>
      </c>
      <c r="E14" s="233" t="s">
        <v>10</v>
      </c>
      <c r="F14" s="164" t="s">
        <v>622</v>
      </c>
      <c r="G14" s="163" t="s">
        <v>10</v>
      </c>
      <c r="H14" s="163" t="s">
        <v>10</v>
      </c>
      <c r="I14" s="163" t="s">
        <v>10</v>
      </c>
      <c r="J14" s="163" t="s">
        <v>10</v>
      </c>
      <c r="K14" s="163" t="s">
        <v>10</v>
      </c>
      <c r="M14" s="225" t="s">
        <v>623</v>
      </c>
      <c r="N14" s="225" t="s">
        <v>623</v>
      </c>
      <c r="P14" s="8" t="s">
        <v>624</v>
      </c>
      <c r="Q14" s="1170"/>
    </row>
    <row r="15" spans="1:17">
      <c r="A15" t="s">
        <v>129</v>
      </c>
      <c r="B15" s="161" t="s">
        <v>597</v>
      </c>
      <c r="C15" s="222">
        <v>6.25E-2</v>
      </c>
      <c r="E15" s="233" t="s">
        <v>10</v>
      </c>
      <c r="F15" s="164" t="s">
        <v>619</v>
      </c>
      <c r="G15" s="163" t="s">
        <v>10</v>
      </c>
      <c r="H15" s="163" t="s">
        <v>10</v>
      </c>
      <c r="I15" s="163" t="s">
        <v>10</v>
      </c>
      <c r="J15" s="163" t="s">
        <v>10</v>
      </c>
      <c r="K15" s="163" t="s">
        <v>10</v>
      </c>
      <c r="M15" s="225" t="s">
        <v>625</v>
      </c>
      <c r="N15" s="225" t="s">
        <v>625</v>
      </c>
      <c r="P15" s="8" t="s">
        <v>620</v>
      </c>
      <c r="Q15" s="1170"/>
    </row>
    <row r="16" spans="1:17">
      <c r="A16" t="s">
        <v>129</v>
      </c>
      <c r="B16" s="161" t="s">
        <v>597</v>
      </c>
      <c r="C16" s="222">
        <v>6.25E-2</v>
      </c>
      <c r="E16" s="233" t="s">
        <v>10</v>
      </c>
      <c r="F16" s="164" t="s">
        <v>622</v>
      </c>
      <c r="G16" s="163" t="s">
        <v>10</v>
      </c>
      <c r="H16" s="163" t="s">
        <v>10</v>
      </c>
      <c r="I16" s="163" t="s">
        <v>10</v>
      </c>
      <c r="J16" s="163" t="s">
        <v>10</v>
      </c>
      <c r="K16" s="163" t="s">
        <v>10</v>
      </c>
      <c r="M16" s="226" t="s">
        <v>626</v>
      </c>
      <c r="N16" s="226" t="s">
        <v>626</v>
      </c>
      <c r="P16" s="8" t="s">
        <v>624</v>
      </c>
      <c r="Q16" s="1170"/>
    </row>
    <row r="17" spans="1:17">
      <c r="A17" t="s">
        <v>129</v>
      </c>
      <c r="B17" s="161" t="s">
        <v>597</v>
      </c>
      <c r="C17" s="222">
        <v>6.25E-2</v>
      </c>
      <c r="E17" s="233" t="s">
        <v>10</v>
      </c>
      <c r="F17" s="164" t="s">
        <v>622</v>
      </c>
      <c r="G17" s="163" t="s">
        <v>10</v>
      </c>
      <c r="H17" s="163" t="s">
        <v>10</v>
      </c>
      <c r="I17" s="247" t="s">
        <v>14</v>
      </c>
      <c r="J17" s="163" t="s">
        <v>10</v>
      </c>
      <c r="K17" s="163" t="s">
        <v>10</v>
      </c>
      <c r="M17" s="1000" t="s">
        <v>627</v>
      </c>
      <c r="N17" s="1000"/>
      <c r="P17" s="8" t="s">
        <v>624</v>
      </c>
      <c r="Q17" s="999"/>
    </row>
    <row r="18" spans="1:17">
      <c r="A18" t="s">
        <v>129</v>
      </c>
      <c r="B18" s="161" t="s">
        <v>597</v>
      </c>
      <c r="C18" s="222">
        <v>6.25E-2</v>
      </c>
      <c r="E18" s="233" t="s">
        <v>10</v>
      </c>
      <c r="F18" s="164" t="s">
        <v>622</v>
      </c>
      <c r="G18" s="163" t="s">
        <v>10</v>
      </c>
      <c r="H18" s="163" t="s">
        <v>10</v>
      </c>
      <c r="I18" s="247" t="s">
        <v>14</v>
      </c>
      <c r="J18" s="163" t="s">
        <v>10</v>
      </c>
      <c r="K18" s="163" t="s">
        <v>10</v>
      </c>
      <c r="M18" s="1000" t="s">
        <v>617</v>
      </c>
      <c r="N18" s="1000"/>
      <c r="P18" s="8" t="s">
        <v>624</v>
      </c>
      <c r="Q18" s="999"/>
    </row>
    <row r="19" spans="1:17" ht="90">
      <c r="A19" t="s">
        <v>129</v>
      </c>
      <c r="B19" s="161" t="s">
        <v>597</v>
      </c>
      <c r="C19" s="162">
        <v>0.10416666666666667</v>
      </c>
      <c r="D19" s="162">
        <f>C19+Summary!$C$30/24</f>
        <v>0.5</v>
      </c>
      <c r="E19" s="234" t="s">
        <v>10</v>
      </c>
      <c r="F19" s="161" t="s">
        <v>628</v>
      </c>
      <c r="G19" s="163" t="s">
        <v>10</v>
      </c>
      <c r="H19" s="163" t="s">
        <v>10</v>
      </c>
      <c r="I19" s="161" t="s">
        <v>14</v>
      </c>
      <c r="J19" s="163" t="s">
        <v>10</v>
      </c>
      <c r="K19" s="163" t="s">
        <v>10</v>
      </c>
      <c r="L19" s="164"/>
      <c r="M19" s="161"/>
      <c r="N19" s="161"/>
      <c r="O19" s="161"/>
      <c r="P19" s="235" t="s">
        <v>629</v>
      </c>
    </row>
    <row r="20" spans="1:17" ht="60">
      <c r="A20" t="s">
        <v>129</v>
      </c>
      <c r="B20" s="161" t="s">
        <v>597</v>
      </c>
      <c r="C20" s="162">
        <v>0.10416666666666667</v>
      </c>
      <c r="E20" t="s">
        <v>10</v>
      </c>
      <c r="F20" s="164" t="s">
        <v>630</v>
      </c>
      <c r="G20" s="163" t="s">
        <v>10</v>
      </c>
      <c r="H20" s="163" t="s">
        <v>10</v>
      </c>
      <c r="I20" s="163" t="s">
        <v>10</v>
      </c>
      <c r="J20" s="163" t="s">
        <v>10</v>
      </c>
      <c r="K20" s="163" t="s">
        <v>10</v>
      </c>
      <c r="M20" s="227" t="s">
        <v>627</v>
      </c>
      <c r="N20" s="227" t="s">
        <v>627</v>
      </c>
      <c r="P20" s="8" t="s">
        <v>631</v>
      </c>
    </row>
    <row r="21" spans="1:17">
      <c r="A21" t="s">
        <v>129</v>
      </c>
      <c r="B21" s="161" t="s">
        <v>597</v>
      </c>
      <c r="C21" s="162">
        <v>0.10416666666666667</v>
      </c>
      <c r="E21" t="s">
        <v>10</v>
      </c>
      <c r="F21" s="164" t="s">
        <v>630</v>
      </c>
      <c r="G21" s="163" t="s">
        <v>10</v>
      </c>
      <c r="H21" s="163" t="s">
        <v>10</v>
      </c>
      <c r="I21" s="163" t="s">
        <v>10</v>
      </c>
      <c r="J21" s="163" t="s">
        <v>10</v>
      </c>
      <c r="K21" s="163" t="s">
        <v>10</v>
      </c>
      <c r="M21" s="227" t="s">
        <v>617</v>
      </c>
      <c r="N21" s="227" t="s">
        <v>617</v>
      </c>
      <c r="P21" s="8" t="s">
        <v>632</v>
      </c>
    </row>
    <row r="22" spans="1:17" ht="45">
      <c r="A22" t="s">
        <v>129</v>
      </c>
      <c r="B22" s="161" t="s">
        <v>597</v>
      </c>
      <c r="C22" s="162">
        <v>0.10416666666666667</v>
      </c>
      <c r="D22" s="162">
        <f>C22+Summary!$C$30/24</f>
        <v>0.5</v>
      </c>
      <c r="E22" s="234" t="s">
        <v>10</v>
      </c>
      <c r="F22" s="161" t="s">
        <v>633</v>
      </c>
      <c r="G22" s="163" t="s">
        <v>10</v>
      </c>
      <c r="H22" s="163" t="s">
        <v>10</v>
      </c>
      <c r="I22" s="161" t="s">
        <v>14</v>
      </c>
      <c r="J22" s="163" t="s">
        <v>10</v>
      </c>
      <c r="K22" s="163" t="s">
        <v>10</v>
      </c>
      <c r="L22" s="164"/>
      <c r="M22" s="161"/>
      <c r="N22" s="161"/>
      <c r="O22" s="161"/>
      <c r="P22" s="235" t="s">
        <v>634</v>
      </c>
    </row>
    <row r="23" spans="1:17">
      <c r="A23" t="s">
        <v>178</v>
      </c>
      <c r="B23" s="161" t="s">
        <v>178</v>
      </c>
      <c r="C23" s="222">
        <v>0.47916666666666669</v>
      </c>
      <c r="F23" s="164" t="s">
        <v>635</v>
      </c>
      <c r="G23" s="163" t="s">
        <v>10</v>
      </c>
      <c r="H23" s="163" t="s">
        <v>10</v>
      </c>
      <c r="I23" s="247" t="s">
        <v>14</v>
      </c>
      <c r="J23" s="163" t="s">
        <v>10</v>
      </c>
      <c r="K23" s="163" t="s">
        <v>10</v>
      </c>
      <c r="M23" t="s">
        <v>636</v>
      </c>
    </row>
    <row r="24" spans="1:17">
      <c r="A24" t="s">
        <v>178</v>
      </c>
      <c r="B24" s="161" t="s">
        <v>178</v>
      </c>
      <c r="C24" s="222">
        <v>0.9375</v>
      </c>
      <c r="F24" s="164" t="s">
        <v>368</v>
      </c>
      <c r="G24" s="163" t="s">
        <v>10</v>
      </c>
      <c r="H24" s="163" t="s">
        <v>10</v>
      </c>
      <c r="I24" s="247" t="s">
        <v>14</v>
      </c>
      <c r="J24" s="163" t="s">
        <v>10</v>
      </c>
      <c r="K24" s="163" t="s">
        <v>10</v>
      </c>
      <c r="M24" t="s">
        <v>372</v>
      </c>
    </row>
    <row r="25" spans="1:17">
      <c r="A25" t="s">
        <v>178</v>
      </c>
      <c r="B25" s="161" t="s">
        <v>178</v>
      </c>
      <c r="C25" s="162">
        <v>0.89583333333333337</v>
      </c>
      <c r="F25" s="164" t="s">
        <v>358</v>
      </c>
      <c r="G25" s="163" t="s">
        <v>10</v>
      </c>
      <c r="H25" s="163" t="s">
        <v>10</v>
      </c>
      <c r="I25" s="163" t="s">
        <v>10</v>
      </c>
      <c r="J25" s="163" t="s">
        <v>10</v>
      </c>
      <c r="K25" s="163" t="s">
        <v>10</v>
      </c>
      <c r="M25" s="163" t="s">
        <v>362</v>
      </c>
      <c r="N25" s="163" t="s">
        <v>362</v>
      </c>
    </row>
    <row r="26" spans="1:17">
      <c r="B26" s="161"/>
      <c r="C26" s="222"/>
      <c r="F26" s="164"/>
      <c r="G26" s="247"/>
    </row>
  </sheetData>
  <autoFilter ref="A1:Q1" xr:uid="{4C68CBAD-E079-4D62-B424-226620B79DE3}"/>
  <mergeCells count="1">
    <mergeCell ref="Q13:Q16"/>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C2:K37"/>
  <sheetViews>
    <sheetView topLeftCell="D8" zoomScaleNormal="100" workbookViewId="0">
      <selection activeCell="P22" sqref="P22"/>
    </sheetView>
  </sheetViews>
  <sheetFormatPr defaultRowHeight="15"/>
  <cols>
    <col min="3" max="3" width="24.42578125" customWidth="1"/>
    <col min="4" max="4" width="45.28515625" customWidth="1"/>
    <col min="7" max="7" width="24.85546875" customWidth="1"/>
  </cols>
  <sheetData>
    <row r="2" spans="3:11">
      <c r="C2" s="2" t="s">
        <v>637</v>
      </c>
      <c r="D2" s="1" t="s">
        <v>638</v>
      </c>
      <c r="G2" s="1174" t="s">
        <v>639</v>
      </c>
      <c r="H2" s="1174"/>
      <c r="I2" s="1174"/>
      <c r="J2" s="1174"/>
      <c r="K2" s="1174"/>
    </row>
    <row r="3" spans="3:11">
      <c r="C3" s="2" t="s">
        <v>640</v>
      </c>
      <c r="D3" s="1" t="s">
        <v>23</v>
      </c>
      <c r="G3" s="1174"/>
      <c r="H3" s="1174"/>
      <c r="I3" s="1174"/>
      <c r="J3" s="1174"/>
      <c r="K3" s="1174"/>
    </row>
    <row r="4" spans="3:11">
      <c r="C4" s="2" t="s">
        <v>36</v>
      </c>
      <c r="D4" s="1" t="s">
        <v>641</v>
      </c>
      <c r="G4" s="1174"/>
      <c r="H4" s="1174"/>
      <c r="I4" s="1174"/>
      <c r="J4" s="1174"/>
      <c r="K4" s="1174"/>
    </row>
    <row r="5" spans="3:11">
      <c r="C5" s="2" t="s">
        <v>642</v>
      </c>
      <c r="D5" s="1" t="s">
        <v>643</v>
      </c>
      <c r="G5" s="1174"/>
      <c r="H5" s="1174"/>
      <c r="I5" s="1174"/>
      <c r="J5" s="1174"/>
      <c r="K5" s="1174"/>
    </row>
    <row r="6" spans="3:11">
      <c r="C6" s="2" t="s">
        <v>644</v>
      </c>
      <c r="D6" s="1" t="s">
        <v>645</v>
      </c>
      <c r="G6" s="1174"/>
      <c r="H6" s="1174"/>
      <c r="I6" s="1174"/>
      <c r="J6" s="1174"/>
      <c r="K6" s="1174"/>
    </row>
    <row r="7" spans="3:11">
      <c r="C7" s="2" t="s">
        <v>646</v>
      </c>
      <c r="D7" s="1" t="s">
        <v>647</v>
      </c>
      <c r="G7" s="1174"/>
      <c r="H7" s="1174"/>
      <c r="I7" s="1174"/>
      <c r="J7" s="1174"/>
      <c r="K7" s="1174"/>
    </row>
    <row r="8" spans="3:11">
      <c r="C8" s="2" t="s">
        <v>648</v>
      </c>
      <c r="D8" s="1" t="s">
        <v>649</v>
      </c>
      <c r="G8" s="1174"/>
      <c r="H8" s="1174"/>
      <c r="I8" s="1174"/>
      <c r="J8" s="1174"/>
      <c r="K8" s="1174"/>
    </row>
    <row r="9" spans="3:11">
      <c r="C9" s="2" t="s">
        <v>650</v>
      </c>
      <c r="D9" s="1" t="s">
        <v>651</v>
      </c>
      <c r="G9" s="1174"/>
      <c r="H9" s="1174"/>
      <c r="I9" s="1174"/>
      <c r="J9" s="1174"/>
      <c r="K9" s="1174"/>
    </row>
    <row r="10" spans="3:11">
      <c r="C10" s="2" t="s">
        <v>652</v>
      </c>
      <c r="D10" s="1" t="s">
        <v>653</v>
      </c>
      <c r="G10" s="1174"/>
      <c r="H10" s="1174"/>
      <c r="I10" s="1174"/>
      <c r="J10" s="1174"/>
      <c r="K10" s="1174"/>
    </row>
    <row r="11" spans="3:11">
      <c r="C11" s="2" t="s">
        <v>654</v>
      </c>
      <c r="D11" s="1" t="s">
        <v>655</v>
      </c>
      <c r="G11" s="1174"/>
      <c r="H11" s="1174"/>
      <c r="I11" s="1174"/>
      <c r="J11" s="1174"/>
      <c r="K11" s="1174"/>
    </row>
    <row r="12" spans="3:11">
      <c r="G12" s="1174"/>
      <c r="H12" s="1174"/>
      <c r="I12" s="1174"/>
      <c r="J12" s="1174"/>
      <c r="K12" s="1174"/>
    </row>
    <row r="13" spans="3:11">
      <c r="C13" s="1175" t="s">
        <v>656</v>
      </c>
      <c r="D13" s="1175"/>
      <c r="E13" s="3"/>
      <c r="F13" s="3"/>
      <c r="G13" s="3"/>
    </row>
    <row r="15" spans="3:11">
      <c r="C15" s="12" t="s">
        <v>657</v>
      </c>
      <c r="D15" s="1176" t="s">
        <v>658</v>
      </c>
      <c r="E15" s="1177"/>
      <c r="F15" s="1177"/>
      <c r="G15" s="1177"/>
      <c r="H15" s="1178"/>
    </row>
    <row r="16" spans="3:11">
      <c r="C16" s="13" t="s">
        <v>75</v>
      </c>
      <c r="D16" s="1171" t="s">
        <v>659</v>
      </c>
      <c r="E16" s="1172"/>
      <c r="F16" s="1172"/>
      <c r="G16" s="1172"/>
      <c r="H16" s="1173"/>
    </row>
    <row r="17" spans="3:8">
      <c r="C17" s="12" t="s">
        <v>78</v>
      </c>
      <c r="D17" s="1171" t="s">
        <v>660</v>
      </c>
      <c r="E17" s="1172"/>
      <c r="F17" s="1172"/>
      <c r="G17" s="1172"/>
      <c r="H17" s="1173"/>
    </row>
    <row r="18" spans="3:8">
      <c r="C18" s="12" t="s">
        <v>80</v>
      </c>
      <c r="D18" s="1171" t="s">
        <v>661</v>
      </c>
      <c r="E18" s="1172"/>
      <c r="F18" s="1172"/>
      <c r="G18" s="1172"/>
      <c r="H18" s="1173"/>
    </row>
    <row r="19" spans="3:8">
      <c r="C19" s="12" t="s">
        <v>81</v>
      </c>
      <c r="D19" s="1171" t="s">
        <v>662</v>
      </c>
      <c r="E19" s="1172"/>
      <c r="F19" s="1172"/>
      <c r="G19" s="1172"/>
      <c r="H19" s="1173"/>
    </row>
    <row r="20" spans="3:8">
      <c r="C20" s="12" t="s">
        <v>83</v>
      </c>
      <c r="D20" s="1171" t="s">
        <v>663</v>
      </c>
      <c r="E20" s="1172"/>
      <c r="F20" s="1172"/>
      <c r="G20" s="1172"/>
      <c r="H20" s="1173"/>
    </row>
    <row r="21" spans="3:8">
      <c r="C21" s="12" t="s">
        <v>76</v>
      </c>
      <c r="D21" s="1171" t="s">
        <v>664</v>
      </c>
      <c r="E21" s="1172"/>
      <c r="F21" s="1172"/>
      <c r="G21" s="1172"/>
      <c r="H21" s="1173"/>
    </row>
    <row r="22" spans="3:8">
      <c r="C22" s="12" t="s">
        <v>84</v>
      </c>
      <c r="D22" s="1171" t="s">
        <v>665</v>
      </c>
      <c r="E22" s="1172"/>
      <c r="F22" s="1172"/>
      <c r="G22" s="1172"/>
      <c r="H22" s="1173"/>
    </row>
    <row r="23" spans="3:8">
      <c r="C23" s="10" t="s">
        <v>86</v>
      </c>
      <c r="D23" s="1171" t="s">
        <v>666</v>
      </c>
      <c r="E23" s="1172"/>
      <c r="F23" s="1172"/>
      <c r="G23" s="1172"/>
      <c r="H23" s="1173"/>
    </row>
    <row r="24" spans="3:8">
      <c r="C24" s="10" t="s">
        <v>87</v>
      </c>
      <c r="D24" s="1171" t="s">
        <v>667</v>
      </c>
      <c r="E24" s="1172"/>
      <c r="F24" s="1172"/>
      <c r="G24" s="1172"/>
      <c r="H24" s="1173"/>
    </row>
    <row r="25" spans="3:8">
      <c r="C25" s="11" t="s">
        <v>89</v>
      </c>
      <c r="D25" s="1171" t="s">
        <v>668</v>
      </c>
      <c r="E25" s="1172"/>
      <c r="F25" s="1172"/>
      <c r="G25" s="1172"/>
      <c r="H25" s="1173"/>
    </row>
    <row r="26" spans="3:8">
      <c r="C26" s="12" t="s">
        <v>93</v>
      </c>
      <c r="D26" s="1171" t="s">
        <v>669</v>
      </c>
      <c r="E26" s="1172"/>
      <c r="F26" s="1172"/>
      <c r="G26" s="1172"/>
      <c r="H26" s="1173"/>
    </row>
    <row r="27" spans="3:8">
      <c r="C27" s="12" t="s">
        <v>94</v>
      </c>
      <c r="D27" s="1171" t="s">
        <v>670</v>
      </c>
      <c r="E27" s="1172"/>
      <c r="F27" s="1172"/>
      <c r="G27" s="1172"/>
      <c r="H27" s="1173"/>
    </row>
    <row r="28" spans="3:8">
      <c r="C28" s="12" t="s">
        <v>95</v>
      </c>
      <c r="D28" s="1171" t="s">
        <v>671</v>
      </c>
      <c r="E28" s="1172"/>
      <c r="F28" s="1172"/>
      <c r="G28" s="1172"/>
      <c r="H28" s="1173"/>
    </row>
    <row r="29" spans="3:8">
      <c r="C29" s="12" t="s">
        <v>98</v>
      </c>
      <c r="D29" s="1171" t="s">
        <v>672</v>
      </c>
      <c r="E29" s="1172"/>
      <c r="F29" s="1172"/>
      <c r="G29" s="1172"/>
      <c r="H29" s="1173"/>
    </row>
    <row r="30" spans="3:8">
      <c r="C30" s="12" t="s">
        <v>99</v>
      </c>
      <c r="D30" s="1171" t="s">
        <v>673</v>
      </c>
      <c r="E30" s="1172"/>
      <c r="F30" s="1172"/>
      <c r="G30" s="1172"/>
      <c r="H30" s="1173"/>
    </row>
    <row r="31" spans="3:8">
      <c r="C31" s="12" t="s">
        <v>101</v>
      </c>
      <c r="D31" s="1171" t="s">
        <v>674</v>
      </c>
      <c r="E31" s="1172"/>
      <c r="F31" s="1172"/>
      <c r="G31" s="1172"/>
      <c r="H31" s="1173"/>
    </row>
    <row r="32" spans="3:8">
      <c r="C32" s="12" t="s">
        <v>102</v>
      </c>
      <c r="D32" s="1171" t="s">
        <v>675</v>
      </c>
      <c r="E32" s="1172"/>
      <c r="F32" s="1172"/>
      <c r="G32" s="1172"/>
      <c r="H32" s="1173"/>
    </row>
    <row r="33" spans="3:8">
      <c r="C33" s="12" t="s">
        <v>676</v>
      </c>
      <c r="D33" s="1171" t="s">
        <v>677</v>
      </c>
      <c r="E33" s="1172"/>
      <c r="F33" s="1172"/>
      <c r="G33" s="1172"/>
      <c r="H33" s="1173"/>
    </row>
    <row r="34" spans="3:8">
      <c r="C34" s="12" t="s">
        <v>678</v>
      </c>
      <c r="D34" s="1171" t="s">
        <v>679</v>
      </c>
      <c r="E34" s="1172"/>
      <c r="F34" s="1172"/>
      <c r="G34" s="1172"/>
      <c r="H34" s="1173"/>
    </row>
    <row r="35" spans="3:8">
      <c r="C35" s="12" t="s">
        <v>105</v>
      </c>
      <c r="D35" s="1171" t="s">
        <v>680</v>
      </c>
      <c r="E35" s="1172"/>
      <c r="F35" s="1172"/>
      <c r="G35" s="1172"/>
      <c r="H35" s="1173"/>
    </row>
    <row r="36" spans="3:8">
      <c r="C36" s="12" t="s">
        <v>106</v>
      </c>
      <c r="D36" s="1171" t="s">
        <v>681</v>
      </c>
      <c r="E36" s="1172"/>
      <c r="F36" s="1172"/>
      <c r="G36" s="1172"/>
      <c r="H36" s="1173"/>
    </row>
    <row r="37" spans="3:8">
      <c r="C37" s="12" t="s">
        <v>107</v>
      </c>
      <c r="D37" s="1171" t="s">
        <v>682</v>
      </c>
      <c r="E37" s="1172"/>
      <c r="F37" s="1172"/>
      <c r="G37" s="1172"/>
      <c r="H37" s="1173"/>
    </row>
  </sheetData>
  <mergeCells count="25">
    <mergeCell ref="G2:K12"/>
    <mergeCell ref="D25:H25"/>
    <mergeCell ref="D32:H32"/>
    <mergeCell ref="D29:H29"/>
    <mergeCell ref="C13:D13"/>
    <mergeCell ref="D18:H18"/>
    <mergeCell ref="D20:H20"/>
    <mergeCell ref="D21:H21"/>
    <mergeCell ref="D22:H22"/>
    <mergeCell ref="D23:H23"/>
    <mergeCell ref="D24:H24"/>
    <mergeCell ref="D27:H27"/>
    <mergeCell ref="D28:H28"/>
    <mergeCell ref="D15:H15"/>
    <mergeCell ref="D16:H16"/>
    <mergeCell ref="D17:H17"/>
    <mergeCell ref="D19:H19"/>
    <mergeCell ref="D26:H26"/>
    <mergeCell ref="D37:H37"/>
    <mergeCell ref="D30:H30"/>
    <mergeCell ref="D31:H31"/>
    <mergeCell ref="D33:H33"/>
    <mergeCell ref="D36:H36"/>
    <mergeCell ref="D35:H35"/>
    <mergeCell ref="D34:H34"/>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1CFA8-1F23-45B0-AFE7-FFCD5AA91CED}">
  <dimension ref="A1:X49"/>
  <sheetViews>
    <sheetView workbookViewId="0">
      <selection activeCell="J4" sqref="J4"/>
    </sheetView>
  </sheetViews>
  <sheetFormatPr defaultRowHeight="15"/>
  <cols>
    <col min="7" max="7" width="17.5703125" bestFit="1" customWidth="1"/>
    <col min="8" max="8" width="10.140625" bestFit="1" customWidth="1"/>
    <col min="9" max="9" width="16.7109375" bestFit="1" customWidth="1"/>
    <col min="10" max="10" width="37" bestFit="1" customWidth="1"/>
    <col min="14" max="14" width="20.7109375" bestFit="1" customWidth="1"/>
    <col min="15" max="15" width="9.85546875" bestFit="1" customWidth="1"/>
    <col min="17" max="17" width="16.7109375" bestFit="1" customWidth="1"/>
    <col min="20" max="20" width="13" bestFit="1" customWidth="1"/>
    <col min="21" max="21" width="18.5703125" bestFit="1" customWidth="1"/>
    <col min="22" max="22" width="9.5703125" bestFit="1" customWidth="1"/>
    <col min="23" max="23" width="15.7109375" customWidth="1"/>
  </cols>
  <sheetData>
    <row r="1" spans="1:24">
      <c r="A1" s="189" t="s">
        <v>304</v>
      </c>
      <c r="B1" s="189"/>
      <c r="C1" s="176"/>
      <c r="D1" s="176"/>
      <c r="E1" s="176"/>
      <c r="F1" s="176"/>
      <c r="G1" s="189" t="s">
        <v>316</v>
      </c>
      <c r="H1" s="189"/>
      <c r="I1" s="176"/>
      <c r="J1" s="176"/>
      <c r="N1" t="s">
        <v>388</v>
      </c>
      <c r="Q1" t="s">
        <v>158</v>
      </c>
      <c r="T1" t="s">
        <v>337</v>
      </c>
      <c r="U1" s="161" t="s">
        <v>683</v>
      </c>
      <c r="W1" t="s">
        <v>273</v>
      </c>
    </row>
    <row r="2" spans="1:24">
      <c r="A2" s="176" t="s">
        <v>684</v>
      </c>
      <c r="B2" s="176" t="s">
        <v>685</v>
      </c>
      <c r="C2" s="176" t="s">
        <v>686</v>
      </c>
      <c r="D2" s="176" t="s">
        <v>687</v>
      </c>
      <c r="E2" s="176"/>
      <c r="F2" s="176"/>
      <c r="G2" s="176" t="s">
        <v>684</v>
      </c>
      <c r="H2" s="176" t="s">
        <v>685</v>
      </c>
      <c r="I2" s="176" t="s">
        <v>686</v>
      </c>
      <c r="J2" s="176" t="s">
        <v>687</v>
      </c>
      <c r="N2" s="176" t="s">
        <v>684</v>
      </c>
      <c r="O2" s="176" t="s">
        <v>685</v>
      </c>
      <c r="Q2" s="176" t="s">
        <v>684</v>
      </c>
      <c r="R2" s="176" t="s">
        <v>685</v>
      </c>
      <c r="T2" s="176" t="s">
        <v>684</v>
      </c>
      <c r="U2" s="176" t="s">
        <v>685</v>
      </c>
      <c r="W2" s="176" t="s">
        <v>684</v>
      </c>
      <c r="X2" s="176" t="s">
        <v>685</v>
      </c>
    </row>
    <row r="3" spans="1:24">
      <c r="A3" s="176">
        <v>2024</v>
      </c>
      <c r="B3" s="176">
        <v>20240101</v>
      </c>
      <c r="C3" s="176" t="s">
        <v>115</v>
      </c>
      <c r="D3" s="176" t="s">
        <v>688</v>
      </c>
      <c r="E3" s="176"/>
      <c r="F3" s="176"/>
      <c r="G3" s="176">
        <v>2024</v>
      </c>
      <c r="H3" s="176">
        <v>20240101</v>
      </c>
      <c r="I3" s="176" t="s">
        <v>115</v>
      </c>
      <c r="J3" s="176" t="s">
        <v>688</v>
      </c>
      <c r="N3" s="176">
        <v>2024</v>
      </c>
      <c r="O3" s="176">
        <v>20240101</v>
      </c>
      <c r="Q3" s="176">
        <v>2024</v>
      </c>
      <c r="R3" s="176">
        <v>20240102</v>
      </c>
      <c r="T3">
        <v>2025</v>
      </c>
      <c r="U3">
        <v>20250101</v>
      </c>
      <c r="W3">
        <v>2025</v>
      </c>
      <c r="X3">
        <v>20250101</v>
      </c>
    </row>
    <row r="4" spans="1:24">
      <c r="A4" s="176">
        <v>2024</v>
      </c>
      <c r="B4" s="176">
        <v>20240219</v>
      </c>
      <c r="C4" s="176" t="s">
        <v>115</v>
      </c>
      <c r="D4" s="176" t="s">
        <v>689</v>
      </c>
      <c r="E4" s="176"/>
      <c r="F4" s="176"/>
      <c r="G4" s="176">
        <v>2024</v>
      </c>
      <c r="H4" s="176">
        <v>20240115</v>
      </c>
      <c r="I4" s="176" t="s">
        <v>115</v>
      </c>
      <c r="J4" s="176" t="s">
        <v>690</v>
      </c>
      <c r="N4" s="176">
        <v>2024</v>
      </c>
      <c r="O4" s="176">
        <v>20241225</v>
      </c>
      <c r="Q4" s="176">
        <v>2024</v>
      </c>
      <c r="R4" s="176">
        <v>20241226</v>
      </c>
      <c r="T4">
        <v>2025</v>
      </c>
      <c r="U4">
        <v>20250217</v>
      </c>
      <c r="W4" s="688">
        <v>2025</v>
      </c>
      <c r="X4" s="688">
        <v>20250418</v>
      </c>
    </row>
    <row r="5" spans="1:24">
      <c r="A5" s="176">
        <v>2024</v>
      </c>
      <c r="B5" s="176">
        <v>20240329</v>
      </c>
      <c r="C5" s="176" t="s">
        <v>119</v>
      </c>
      <c r="D5" s="176" t="s">
        <v>691</v>
      </c>
      <c r="E5" s="176"/>
      <c r="F5" s="176"/>
      <c r="G5" s="176">
        <v>2024</v>
      </c>
      <c r="H5" s="176">
        <v>20240219</v>
      </c>
      <c r="I5" s="176" t="s">
        <v>115</v>
      </c>
      <c r="J5" s="176" t="s">
        <v>692</v>
      </c>
      <c r="N5">
        <v>2025</v>
      </c>
      <c r="O5">
        <v>20250101</v>
      </c>
      <c r="Q5">
        <v>2025</v>
      </c>
      <c r="R5">
        <v>20250102</v>
      </c>
      <c r="T5" s="688">
        <v>2025</v>
      </c>
      <c r="U5" s="688">
        <v>20250418</v>
      </c>
      <c r="W5">
        <v>2025</v>
      </c>
      <c r="X5">
        <v>20251225</v>
      </c>
    </row>
    <row r="6" spans="1:24">
      <c r="A6" s="176">
        <v>2024</v>
      </c>
      <c r="B6" s="176">
        <v>20240520</v>
      </c>
      <c r="C6" s="176" t="s">
        <v>115</v>
      </c>
      <c r="D6" s="176" t="s">
        <v>693</v>
      </c>
      <c r="E6" s="176"/>
      <c r="F6" s="176"/>
      <c r="G6" s="176">
        <v>2024</v>
      </c>
      <c r="H6" s="176">
        <v>20240329</v>
      </c>
      <c r="I6" s="176" t="s">
        <v>119</v>
      </c>
      <c r="J6" s="176" t="s">
        <v>691</v>
      </c>
      <c r="N6" s="176">
        <v>2025</v>
      </c>
      <c r="O6" s="176">
        <v>20251225</v>
      </c>
      <c r="Q6" s="176">
        <v>2025</v>
      </c>
      <c r="R6" s="176">
        <v>20251226</v>
      </c>
      <c r="T6">
        <v>2025</v>
      </c>
      <c r="U6">
        <v>20250901</v>
      </c>
      <c r="W6">
        <v>2026</v>
      </c>
      <c r="X6">
        <v>20260101</v>
      </c>
    </row>
    <row r="7" spans="1:24">
      <c r="A7" s="176">
        <v>2024</v>
      </c>
      <c r="B7" s="176">
        <v>20240701</v>
      </c>
      <c r="C7" s="176" t="s">
        <v>115</v>
      </c>
      <c r="D7" s="176" t="s">
        <v>694</v>
      </c>
      <c r="E7" s="176"/>
      <c r="F7" s="176"/>
      <c r="G7" s="176">
        <v>2024</v>
      </c>
      <c r="H7" s="176">
        <v>20240527</v>
      </c>
      <c r="I7" s="176" t="s">
        <v>115</v>
      </c>
      <c r="J7" s="176" t="s">
        <v>695</v>
      </c>
      <c r="T7">
        <v>2025</v>
      </c>
      <c r="U7">
        <v>20251225</v>
      </c>
      <c r="W7">
        <v>2026</v>
      </c>
      <c r="X7">
        <v>20260403</v>
      </c>
    </row>
    <row r="8" spans="1:24">
      <c r="A8" s="176">
        <v>2024</v>
      </c>
      <c r="B8" s="176">
        <v>20240805</v>
      </c>
      <c r="C8" s="176" t="s">
        <v>115</v>
      </c>
      <c r="D8" s="176" t="s">
        <v>696</v>
      </c>
      <c r="E8" s="176"/>
      <c r="F8" s="176"/>
      <c r="G8" s="176">
        <v>2024</v>
      </c>
      <c r="H8" s="176">
        <v>20240619</v>
      </c>
      <c r="I8" s="176" t="s">
        <v>117</v>
      </c>
      <c r="J8" s="176" t="s">
        <v>697</v>
      </c>
      <c r="N8" t="s">
        <v>351</v>
      </c>
      <c r="T8">
        <v>2026</v>
      </c>
      <c r="U8">
        <v>20260101</v>
      </c>
      <c r="W8">
        <v>2026</v>
      </c>
      <c r="X8">
        <v>20261225</v>
      </c>
    </row>
    <row r="9" spans="1:24">
      <c r="A9" s="176">
        <v>2024</v>
      </c>
      <c r="B9" s="176">
        <v>20240902</v>
      </c>
      <c r="C9" s="176" t="s">
        <v>115</v>
      </c>
      <c r="D9" s="176" t="s">
        <v>698</v>
      </c>
      <c r="E9" s="176"/>
      <c r="F9" s="176"/>
      <c r="G9" s="176">
        <v>2024</v>
      </c>
      <c r="H9" s="176">
        <v>20240704</v>
      </c>
      <c r="I9" s="176" t="s">
        <v>118</v>
      </c>
      <c r="J9" s="176" t="s">
        <v>699</v>
      </c>
      <c r="N9">
        <v>2025</v>
      </c>
      <c r="O9">
        <v>20250101</v>
      </c>
      <c r="T9">
        <v>2026</v>
      </c>
      <c r="U9">
        <v>20260216</v>
      </c>
    </row>
    <row r="10" spans="1:24">
      <c r="A10" s="176">
        <v>2024</v>
      </c>
      <c r="B10" s="176">
        <v>20241014</v>
      </c>
      <c r="C10" s="176" t="s">
        <v>115</v>
      </c>
      <c r="D10" s="176" t="s">
        <v>700</v>
      </c>
      <c r="E10" s="176"/>
      <c r="F10" s="176"/>
      <c r="G10" s="176">
        <v>2024</v>
      </c>
      <c r="H10" s="176">
        <v>20240902</v>
      </c>
      <c r="I10" s="176" t="s">
        <v>115</v>
      </c>
      <c r="J10" s="176" t="s">
        <v>701</v>
      </c>
      <c r="T10">
        <v>2026</v>
      </c>
      <c r="U10">
        <v>20260403</v>
      </c>
    </row>
    <row r="11" spans="1:24">
      <c r="A11" s="176">
        <v>2024</v>
      </c>
      <c r="B11" s="176">
        <v>20241225</v>
      </c>
      <c r="C11" s="176" t="s">
        <v>117</v>
      </c>
      <c r="D11" s="176" t="s">
        <v>702</v>
      </c>
      <c r="E11" s="176"/>
      <c r="F11" s="176"/>
      <c r="G11" s="176">
        <v>2024</v>
      </c>
      <c r="H11" s="176">
        <v>20241014</v>
      </c>
      <c r="I11" s="176" t="s">
        <v>115</v>
      </c>
      <c r="J11" s="176" t="s">
        <v>703</v>
      </c>
      <c r="N11" t="s">
        <v>704</v>
      </c>
      <c r="T11">
        <v>2026</v>
      </c>
      <c r="U11">
        <v>20260907</v>
      </c>
    </row>
    <row r="12" spans="1:24">
      <c r="A12" s="176">
        <v>2024</v>
      </c>
      <c r="B12" s="176">
        <v>20241226</v>
      </c>
      <c r="C12" s="176" t="s">
        <v>118</v>
      </c>
      <c r="D12" s="176" t="s">
        <v>705</v>
      </c>
      <c r="E12" s="176"/>
      <c r="F12" s="176"/>
      <c r="G12" s="176">
        <v>2024</v>
      </c>
      <c r="H12" s="176">
        <v>20241111</v>
      </c>
      <c r="I12" s="176" t="s">
        <v>115</v>
      </c>
      <c r="J12" s="176" t="s">
        <v>706</v>
      </c>
      <c r="N12">
        <v>2025</v>
      </c>
      <c r="O12">
        <v>20250105</v>
      </c>
      <c r="T12">
        <v>2026</v>
      </c>
      <c r="U12">
        <v>20261225</v>
      </c>
    </row>
    <row r="13" spans="1:24">
      <c r="A13" s="176">
        <v>2025</v>
      </c>
      <c r="B13" s="176">
        <v>20250101</v>
      </c>
      <c r="C13" s="176" t="s">
        <v>117</v>
      </c>
      <c r="D13" s="176" t="s">
        <v>688</v>
      </c>
      <c r="E13" s="176"/>
      <c r="F13" s="176"/>
      <c r="G13" s="176">
        <v>2024</v>
      </c>
      <c r="H13" s="176">
        <v>20241128</v>
      </c>
      <c r="I13" s="176" t="s">
        <v>118</v>
      </c>
      <c r="J13" s="176" t="s">
        <v>700</v>
      </c>
      <c r="N13">
        <v>2025</v>
      </c>
      <c r="O13">
        <v>20250406</v>
      </c>
    </row>
    <row r="14" spans="1:24">
      <c r="A14" s="176">
        <v>2025</v>
      </c>
      <c r="B14" s="176">
        <v>20250217</v>
      </c>
      <c r="C14" s="176" t="s">
        <v>115</v>
      </c>
      <c r="D14" s="176" t="s">
        <v>689</v>
      </c>
      <c r="E14" s="176"/>
      <c r="F14" s="176"/>
      <c r="G14" s="176">
        <v>2024</v>
      </c>
      <c r="H14" s="176">
        <v>20241225</v>
      </c>
      <c r="I14" s="176" t="s">
        <v>117</v>
      </c>
      <c r="J14" s="176" t="s">
        <v>702</v>
      </c>
      <c r="N14">
        <v>2025</v>
      </c>
      <c r="O14">
        <v>20250706</v>
      </c>
    </row>
    <row r="15" spans="1:24">
      <c r="A15" s="1058">
        <v>2025</v>
      </c>
      <c r="B15" s="1058">
        <v>20250418</v>
      </c>
      <c r="C15" s="1058" t="s">
        <v>119</v>
      </c>
      <c r="D15" s="1058" t="s">
        <v>691</v>
      </c>
      <c r="E15" s="176"/>
      <c r="F15" s="176"/>
      <c r="G15" s="176">
        <v>2025</v>
      </c>
      <c r="H15" s="176">
        <v>20250101</v>
      </c>
      <c r="I15" s="176" t="s">
        <v>117</v>
      </c>
      <c r="J15" s="176" t="s">
        <v>688</v>
      </c>
      <c r="N15">
        <v>2025</v>
      </c>
      <c r="O15">
        <v>20251006</v>
      </c>
    </row>
    <row r="16" spans="1:24">
      <c r="A16" s="176">
        <v>2025</v>
      </c>
      <c r="B16" s="176">
        <v>20250519</v>
      </c>
      <c r="C16" s="176" t="s">
        <v>115</v>
      </c>
      <c r="D16" s="176" t="s">
        <v>693</v>
      </c>
      <c r="E16" s="176"/>
      <c r="F16" s="176"/>
      <c r="G16" s="176">
        <v>2025</v>
      </c>
      <c r="H16" s="176">
        <v>20250120</v>
      </c>
      <c r="I16" s="176" t="s">
        <v>115</v>
      </c>
      <c r="J16" s="176" t="s">
        <v>690</v>
      </c>
    </row>
    <row r="17" spans="1:10">
      <c r="A17" s="176">
        <v>2025</v>
      </c>
      <c r="B17" s="176">
        <v>20250701</v>
      </c>
      <c r="C17" s="176" t="s">
        <v>116</v>
      </c>
      <c r="D17" s="176" t="s">
        <v>694</v>
      </c>
      <c r="E17" s="176"/>
      <c r="F17" s="176"/>
      <c r="G17" s="176">
        <v>2025</v>
      </c>
      <c r="H17" s="176">
        <v>20250217</v>
      </c>
      <c r="I17" s="176" t="s">
        <v>115</v>
      </c>
      <c r="J17" s="176" t="s">
        <v>692</v>
      </c>
    </row>
    <row r="18" spans="1:10">
      <c r="A18" s="176">
        <v>2025</v>
      </c>
      <c r="B18" s="176">
        <v>20250804</v>
      </c>
      <c r="C18" s="176" t="s">
        <v>115</v>
      </c>
      <c r="D18" s="176" t="s">
        <v>696</v>
      </c>
      <c r="E18" s="176"/>
      <c r="F18" s="176"/>
      <c r="G18" s="1058">
        <v>2025</v>
      </c>
      <c r="H18" s="1058">
        <v>20250418</v>
      </c>
      <c r="I18" s="1058" t="s">
        <v>119</v>
      </c>
      <c r="J18" s="1058" t="s">
        <v>691</v>
      </c>
    </row>
    <row r="19" spans="1:10">
      <c r="A19" s="176">
        <v>2025</v>
      </c>
      <c r="B19" s="176">
        <v>20250901</v>
      </c>
      <c r="C19" s="176" t="s">
        <v>115</v>
      </c>
      <c r="D19" s="176" t="s">
        <v>698</v>
      </c>
      <c r="E19" s="176"/>
      <c r="F19" s="176"/>
      <c r="G19" s="176">
        <v>2025</v>
      </c>
      <c r="H19" s="176">
        <v>20250526</v>
      </c>
      <c r="I19" s="176" t="s">
        <v>115</v>
      </c>
      <c r="J19" s="176" t="s">
        <v>695</v>
      </c>
    </row>
    <row r="20" spans="1:10">
      <c r="A20" s="176">
        <v>2025</v>
      </c>
      <c r="B20" s="176">
        <v>20251013</v>
      </c>
      <c r="C20" s="176" t="s">
        <v>115</v>
      </c>
      <c r="D20" s="176" t="s">
        <v>700</v>
      </c>
      <c r="E20" s="176"/>
      <c r="F20" s="176"/>
      <c r="G20" s="176">
        <v>2025</v>
      </c>
      <c r="H20" s="176">
        <v>20250619</v>
      </c>
      <c r="I20" s="176" t="s">
        <v>118</v>
      </c>
      <c r="J20" s="176" t="s">
        <v>697</v>
      </c>
    </row>
    <row r="21" spans="1:10">
      <c r="A21" s="176">
        <v>2025</v>
      </c>
      <c r="B21" s="176">
        <v>20251225</v>
      </c>
      <c r="C21" s="176" t="s">
        <v>118</v>
      </c>
      <c r="D21" s="176" t="s">
        <v>702</v>
      </c>
      <c r="E21" s="176"/>
      <c r="F21" s="176"/>
      <c r="G21" s="176">
        <v>2025</v>
      </c>
      <c r="H21" s="176">
        <v>20250704</v>
      </c>
      <c r="I21" s="176" t="s">
        <v>119</v>
      </c>
      <c r="J21" s="176" t="s">
        <v>699</v>
      </c>
    </row>
    <row r="22" spans="1:10">
      <c r="A22" s="176">
        <v>2025</v>
      </c>
      <c r="B22" s="176">
        <v>20251226</v>
      </c>
      <c r="C22" s="176" t="s">
        <v>119</v>
      </c>
      <c r="D22" s="176" t="s">
        <v>705</v>
      </c>
      <c r="E22" s="176"/>
      <c r="F22" s="176"/>
      <c r="G22" s="176">
        <v>2025</v>
      </c>
      <c r="H22" s="176">
        <v>20250901</v>
      </c>
      <c r="I22" s="176" t="s">
        <v>115</v>
      </c>
      <c r="J22" s="176" t="s">
        <v>701</v>
      </c>
    </row>
    <row r="23" spans="1:10">
      <c r="A23" s="176"/>
      <c r="B23" s="176"/>
      <c r="C23" s="176"/>
      <c r="D23" s="176"/>
      <c r="E23" s="176"/>
      <c r="F23" s="176"/>
      <c r="G23" s="176">
        <v>2025</v>
      </c>
      <c r="H23" s="176">
        <v>20251127</v>
      </c>
      <c r="I23" s="176" t="s">
        <v>118</v>
      </c>
      <c r="J23" s="176" t="s">
        <v>700</v>
      </c>
    </row>
    <row r="24" spans="1:10">
      <c r="A24" s="190" t="s">
        <v>707</v>
      </c>
      <c r="B24" s="190"/>
      <c r="C24" s="176"/>
      <c r="D24" s="176"/>
      <c r="E24" s="176"/>
      <c r="F24" s="176"/>
      <c r="G24" s="176">
        <v>2025</v>
      </c>
      <c r="H24" s="176">
        <v>20251225</v>
      </c>
      <c r="I24" s="176" t="s">
        <v>118</v>
      </c>
      <c r="J24" s="176" t="s">
        <v>702</v>
      </c>
    </row>
    <row r="25" spans="1:10">
      <c r="A25" s="176" t="s">
        <v>684</v>
      </c>
      <c r="B25" s="176" t="s">
        <v>685</v>
      </c>
      <c r="C25" s="176" t="s">
        <v>686</v>
      </c>
      <c r="D25" s="176" t="s">
        <v>687</v>
      </c>
      <c r="E25" s="176"/>
      <c r="F25" s="176"/>
    </row>
    <row r="26" spans="1:10">
      <c r="A26" s="176">
        <v>2024</v>
      </c>
      <c r="B26" s="176">
        <v>20240101</v>
      </c>
      <c r="C26" s="176" t="s">
        <v>115</v>
      </c>
      <c r="D26" s="176" t="s">
        <v>688</v>
      </c>
      <c r="E26" s="176"/>
      <c r="F26" s="176"/>
    </row>
    <row r="27" spans="1:10">
      <c r="A27" s="176">
        <v>2024</v>
      </c>
      <c r="B27" s="176">
        <v>20240219</v>
      </c>
      <c r="C27" s="176" t="s">
        <v>115</v>
      </c>
      <c r="D27" s="176" t="s">
        <v>689</v>
      </c>
      <c r="E27" s="176"/>
      <c r="F27" s="176"/>
      <c r="G27" s="176"/>
      <c r="H27" s="176"/>
      <c r="I27" s="176"/>
      <c r="J27" s="176"/>
    </row>
    <row r="28" spans="1:10">
      <c r="A28" s="176">
        <v>2024</v>
      </c>
      <c r="B28" s="176">
        <v>20240329</v>
      </c>
      <c r="C28" s="176" t="s">
        <v>119</v>
      </c>
      <c r="D28" s="176" t="s">
        <v>691</v>
      </c>
      <c r="E28" s="176"/>
      <c r="F28" s="176"/>
      <c r="G28" s="176"/>
      <c r="H28" s="176"/>
      <c r="I28" s="176"/>
      <c r="J28" s="176"/>
    </row>
    <row r="29" spans="1:10">
      <c r="A29" s="176">
        <v>2024</v>
      </c>
      <c r="B29" s="176">
        <v>20240520</v>
      </c>
      <c r="C29" s="176" t="s">
        <v>115</v>
      </c>
      <c r="D29" s="176" t="s">
        <v>693</v>
      </c>
      <c r="E29" s="176"/>
      <c r="F29" s="176"/>
      <c r="G29" s="176"/>
      <c r="H29" s="176"/>
      <c r="I29" s="176"/>
      <c r="J29" s="176"/>
    </row>
    <row r="30" spans="1:10">
      <c r="A30" s="176">
        <v>2024</v>
      </c>
      <c r="B30" s="176">
        <v>20240701</v>
      </c>
      <c r="C30" s="176" t="s">
        <v>115</v>
      </c>
      <c r="D30" s="176" t="s">
        <v>694</v>
      </c>
      <c r="E30" s="176"/>
      <c r="F30" s="176"/>
      <c r="G30" s="176"/>
      <c r="H30" s="176"/>
      <c r="I30" s="176"/>
      <c r="J30" s="176"/>
    </row>
    <row r="31" spans="1:10">
      <c r="A31" s="176">
        <v>2024</v>
      </c>
      <c r="B31" s="176">
        <v>20240805</v>
      </c>
      <c r="C31" s="176" t="s">
        <v>115</v>
      </c>
      <c r="D31" s="176" t="s">
        <v>696</v>
      </c>
      <c r="E31" s="176"/>
      <c r="F31" s="176"/>
      <c r="G31" s="176"/>
      <c r="H31" s="176"/>
      <c r="I31" s="176"/>
      <c r="J31" s="176"/>
    </row>
    <row r="32" spans="1:10">
      <c r="A32" s="176">
        <v>2024</v>
      </c>
      <c r="B32" s="176">
        <v>20240902</v>
      </c>
      <c r="C32" s="176" t="s">
        <v>115</v>
      </c>
      <c r="D32" s="176" t="s">
        <v>698</v>
      </c>
      <c r="E32" s="176"/>
      <c r="F32" s="176"/>
      <c r="G32" s="176"/>
      <c r="H32" s="176"/>
      <c r="I32" s="176"/>
      <c r="J32" s="176"/>
    </row>
    <row r="33" spans="1:10">
      <c r="A33" s="176">
        <v>2024</v>
      </c>
      <c r="B33" s="176">
        <v>20240930</v>
      </c>
      <c r="C33" s="176" t="s">
        <v>115</v>
      </c>
      <c r="D33" s="176" t="s">
        <v>708</v>
      </c>
      <c r="E33" s="176"/>
      <c r="F33" s="176"/>
      <c r="G33" s="176"/>
      <c r="H33" s="176"/>
      <c r="I33" s="176"/>
      <c r="J33" s="176"/>
    </row>
    <row r="34" spans="1:10">
      <c r="A34" s="176">
        <v>2024</v>
      </c>
      <c r="B34" s="176">
        <v>20241014</v>
      </c>
      <c r="C34" s="176" t="s">
        <v>115</v>
      </c>
      <c r="D34" s="176" t="s">
        <v>700</v>
      </c>
      <c r="E34" s="176"/>
      <c r="F34" s="176"/>
      <c r="G34" s="176"/>
      <c r="H34" s="176"/>
      <c r="I34" s="176"/>
      <c r="J34" s="176"/>
    </row>
    <row r="35" spans="1:10">
      <c r="A35" s="176">
        <v>2024</v>
      </c>
      <c r="B35" s="176">
        <v>20241111</v>
      </c>
      <c r="C35" s="176" t="s">
        <v>115</v>
      </c>
      <c r="D35" s="176" t="s">
        <v>709</v>
      </c>
      <c r="E35" s="176"/>
      <c r="F35" s="176"/>
      <c r="G35" s="176"/>
      <c r="H35" s="176"/>
      <c r="I35" s="176"/>
      <c r="J35" s="176"/>
    </row>
    <row r="36" spans="1:10">
      <c r="A36" s="176">
        <v>2024</v>
      </c>
      <c r="B36" s="176">
        <v>20241225</v>
      </c>
      <c r="C36" s="176" t="s">
        <v>117</v>
      </c>
      <c r="D36" s="176" t="s">
        <v>702</v>
      </c>
      <c r="E36" s="176"/>
      <c r="F36" s="176"/>
      <c r="G36" s="176"/>
      <c r="H36" s="176"/>
      <c r="I36" s="176"/>
      <c r="J36" s="176"/>
    </row>
    <row r="37" spans="1:10">
      <c r="A37" s="176">
        <v>2024</v>
      </c>
      <c r="B37" s="176">
        <v>20241226</v>
      </c>
      <c r="C37" s="176" t="s">
        <v>118</v>
      </c>
      <c r="D37" s="176" t="s">
        <v>705</v>
      </c>
      <c r="E37" s="176"/>
      <c r="F37" s="176"/>
      <c r="G37" s="176"/>
      <c r="H37" s="176"/>
      <c r="I37" s="176"/>
      <c r="J37" s="176"/>
    </row>
    <row r="38" spans="1:10">
      <c r="A38" s="176">
        <v>2025</v>
      </c>
      <c r="B38" s="176">
        <v>20250101</v>
      </c>
      <c r="C38" s="176" t="s">
        <v>117</v>
      </c>
      <c r="D38" s="176" t="s">
        <v>688</v>
      </c>
      <c r="E38" s="176"/>
      <c r="F38" s="176"/>
      <c r="G38" s="176"/>
      <c r="H38" s="176"/>
      <c r="I38" s="176"/>
      <c r="J38" s="176"/>
    </row>
    <row r="39" spans="1:10">
      <c r="A39" s="176">
        <v>2025</v>
      </c>
      <c r="B39" s="176">
        <v>20250217</v>
      </c>
      <c r="C39" s="176" t="s">
        <v>115</v>
      </c>
      <c r="D39" s="176" t="s">
        <v>689</v>
      </c>
      <c r="E39" s="176"/>
      <c r="F39" s="176"/>
      <c r="G39" s="176"/>
      <c r="H39" s="176"/>
      <c r="I39" s="176"/>
      <c r="J39" s="176"/>
    </row>
    <row r="40" spans="1:10">
      <c r="A40" s="1058">
        <v>2025</v>
      </c>
      <c r="B40" s="1058">
        <v>20250418</v>
      </c>
      <c r="C40" s="1058" t="s">
        <v>119</v>
      </c>
      <c r="D40" s="1058" t="s">
        <v>691</v>
      </c>
      <c r="E40" s="176"/>
      <c r="F40" s="176"/>
      <c r="G40" s="176"/>
      <c r="H40" s="176"/>
      <c r="I40" s="176"/>
      <c r="J40" s="176"/>
    </row>
    <row r="41" spans="1:10">
      <c r="A41" s="176">
        <v>2025</v>
      </c>
      <c r="B41" s="176">
        <v>20250519</v>
      </c>
      <c r="C41" s="176" t="s">
        <v>115</v>
      </c>
      <c r="D41" s="176" t="s">
        <v>693</v>
      </c>
      <c r="E41" s="176"/>
      <c r="F41" s="176"/>
      <c r="G41" s="176"/>
      <c r="H41" s="176"/>
      <c r="I41" s="176"/>
      <c r="J41" s="176"/>
    </row>
    <row r="42" spans="1:10">
      <c r="A42" s="176">
        <v>2025</v>
      </c>
      <c r="B42" s="176">
        <v>20250701</v>
      </c>
      <c r="C42" s="176" t="s">
        <v>116</v>
      </c>
      <c r="D42" s="176" t="s">
        <v>694</v>
      </c>
      <c r="E42" s="176"/>
      <c r="F42" s="176"/>
      <c r="G42" s="176"/>
      <c r="H42" s="176"/>
      <c r="I42" s="176"/>
      <c r="J42" s="176"/>
    </row>
    <row r="43" spans="1:10">
      <c r="A43" s="176">
        <v>2025</v>
      </c>
      <c r="B43" s="176">
        <v>20250804</v>
      </c>
      <c r="C43" s="176" t="s">
        <v>115</v>
      </c>
      <c r="D43" s="176" t="s">
        <v>696</v>
      </c>
      <c r="E43" s="176"/>
      <c r="F43" s="176"/>
      <c r="G43" s="176"/>
      <c r="H43" s="176"/>
      <c r="I43" s="176"/>
      <c r="J43" s="176"/>
    </row>
    <row r="44" spans="1:10">
      <c r="A44" s="176">
        <v>2025</v>
      </c>
      <c r="B44" s="176">
        <v>20250901</v>
      </c>
      <c r="C44" s="176" t="s">
        <v>115</v>
      </c>
      <c r="D44" s="176" t="s">
        <v>698</v>
      </c>
      <c r="E44" s="176"/>
      <c r="F44" s="176"/>
      <c r="G44" s="176"/>
      <c r="H44" s="176"/>
      <c r="I44" s="176"/>
      <c r="J44" s="176"/>
    </row>
    <row r="45" spans="1:10">
      <c r="A45" s="176">
        <v>2025</v>
      </c>
      <c r="B45" s="176">
        <v>20250930</v>
      </c>
      <c r="C45" s="176" t="s">
        <v>116</v>
      </c>
      <c r="D45" s="176" t="s">
        <v>708</v>
      </c>
      <c r="E45" s="176"/>
      <c r="F45" s="176"/>
      <c r="G45" s="176"/>
      <c r="H45" s="176"/>
      <c r="I45" s="176"/>
      <c r="J45" s="176"/>
    </row>
    <row r="46" spans="1:10">
      <c r="A46" s="176">
        <v>2025</v>
      </c>
      <c r="B46" s="176">
        <v>20251013</v>
      </c>
      <c r="C46" s="176" t="s">
        <v>115</v>
      </c>
      <c r="D46" s="176" t="s">
        <v>700</v>
      </c>
      <c r="E46" s="176"/>
      <c r="F46" s="176"/>
      <c r="G46" s="176"/>
      <c r="H46" s="176"/>
      <c r="I46" s="176"/>
      <c r="J46" s="176"/>
    </row>
    <row r="47" spans="1:10">
      <c r="A47" s="176">
        <v>2025</v>
      </c>
      <c r="B47" s="176">
        <v>20251111</v>
      </c>
      <c r="C47" s="176" t="s">
        <v>116</v>
      </c>
      <c r="D47" s="176" t="s">
        <v>709</v>
      </c>
      <c r="E47" s="176"/>
      <c r="F47" s="176"/>
      <c r="G47" s="176"/>
      <c r="H47" s="176"/>
      <c r="I47" s="176"/>
      <c r="J47" s="176"/>
    </row>
    <row r="48" spans="1:10">
      <c r="A48" s="176">
        <v>2025</v>
      </c>
      <c r="B48" s="176">
        <v>20251225</v>
      </c>
      <c r="C48" s="176" t="s">
        <v>118</v>
      </c>
      <c r="D48" s="176" t="s">
        <v>702</v>
      </c>
      <c r="E48" s="176"/>
      <c r="F48" s="176"/>
      <c r="G48" s="176"/>
      <c r="H48" s="176"/>
      <c r="I48" s="176"/>
      <c r="J48" s="176"/>
    </row>
    <row r="49" spans="1:10">
      <c r="A49" s="176">
        <v>2025</v>
      </c>
      <c r="B49" s="176">
        <v>20251226</v>
      </c>
      <c r="C49" s="176" t="s">
        <v>119</v>
      </c>
      <c r="D49" s="176" t="s">
        <v>705</v>
      </c>
      <c r="E49" s="176"/>
      <c r="F49" s="176"/>
      <c r="G49" s="176"/>
      <c r="H49" s="176"/>
      <c r="I49" s="176"/>
      <c r="J49" s="176"/>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874DD8-31A9-4E3F-A899-D16DB2D14B8D}">
  <dimension ref="A1:F59"/>
  <sheetViews>
    <sheetView topLeftCell="B32" workbookViewId="0">
      <selection activeCell="G46" sqref="G46"/>
    </sheetView>
  </sheetViews>
  <sheetFormatPr defaultRowHeight="15"/>
  <cols>
    <col min="1" max="1" width="60.85546875" customWidth="1"/>
    <col min="2" max="2" width="99.42578125" customWidth="1"/>
    <col min="3" max="3" width="29.28515625" bestFit="1" customWidth="1"/>
    <col min="4" max="4" width="62.7109375" bestFit="1" customWidth="1"/>
    <col min="5" max="5" width="13.28515625" bestFit="1" customWidth="1"/>
  </cols>
  <sheetData>
    <row r="1" spans="1:5">
      <c r="A1" s="721" t="s">
        <v>710</v>
      </c>
      <c r="B1" s="721" t="s">
        <v>711</v>
      </c>
      <c r="C1" s="721" t="s">
        <v>712</v>
      </c>
      <c r="D1" s="721" t="s">
        <v>713</v>
      </c>
      <c r="E1" s="721" t="s">
        <v>714</v>
      </c>
    </row>
    <row r="2" spans="1:5">
      <c r="A2" t="s">
        <v>715</v>
      </c>
      <c r="B2" t="s">
        <v>716</v>
      </c>
      <c r="C2" t="s">
        <v>717</v>
      </c>
      <c r="D2" t="s">
        <v>718</v>
      </c>
      <c r="E2" t="b">
        <v>1</v>
      </c>
    </row>
    <row r="3" spans="1:5">
      <c r="A3" t="s">
        <v>719</v>
      </c>
      <c r="B3" t="s">
        <v>720</v>
      </c>
      <c r="C3" t="s">
        <v>717</v>
      </c>
      <c r="D3" t="s">
        <v>721</v>
      </c>
      <c r="E3" t="b">
        <v>1</v>
      </c>
    </row>
    <row r="4" spans="1:5">
      <c r="A4" t="s">
        <v>722</v>
      </c>
      <c r="B4" t="s">
        <v>723</v>
      </c>
      <c r="C4" t="s">
        <v>717</v>
      </c>
      <c r="D4" t="s">
        <v>724</v>
      </c>
      <c r="E4" t="b">
        <v>1</v>
      </c>
    </row>
    <row r="5" spans="1:5">
      <c r="A5" t="s">
        <v>725</v>
      </c>
      <c r="B5" t="s">
        <v>726</v>
      </c>
      <c r="C5" t="s">
        <v>717</v>
      </c>
      <c r="D5" t="s">
        <v>727</v>
      </c>
      <c r="E5" t="b">
        <v>1</v>
      </c>
    </row>
    <row r="6" spans="1:5">
      <c r="A6" t="s">
        <v>728</v>
      </c>
      <c r="B6" t="s">
        <v>729</v>
      </c>
      <c r="C6" t="s">
        <v>717</v>
      </c>
      <c r="D6" t="s">
        <v>730</v>
      </c>
      <c r="E6" t="b">
        <v>1</v>
      </c>
    </row>
    <row r="7" spans="1:5">
      <c r="A7" t="s">
        <v>731</v>
      </c>
      <c r="B7" t="s">
        <v>732</v>
      </c>
      <c r="C7" t="s">
        <v>717</v>
      </c>
      <c r="D7" t="s">
        <v>733</v>
      </c>
      <c r="E7" t="b">
        <v>1</v>
      </c>
    </row>
    <row r="8" spans="1:5">
      <c r="A8" t="s">
        <v>734</v>
      </c>
      <c r="B8" t="s">
        <v>735</v>
      </c>
      <c r="C8" t="s">
        <v>717</v>
      </c>
      <c r="D8" t="s">
        <v>736</v>
      </c>
      <c r="E8" t="b">
        <v>1</v>
      </c>
    </row>
    <row r="9" spans="1:5">
      <c r="A9" t="s">
        <v>55</v>
      </c>
      <c r="B9" t="s">
        <v>737</v>
      </c>
      <c r="C9" t="s">
        <v>738</v>
      </c>
      <c r="D9" t="s">
        <v>739</v>
      </c>
      <c r="E9" t="b">
        <v>1</v>
      </c>
    </row>
    <row r="10" spans="1:5">
      <c r="A10" t="s">
        <v>598</v>
      </c>
      <c r="B10" t="s">
        <v>740</v>
      </c>
      <c r="C10" t="s">
        <v>717</v>
      </c>
      <c r="D10" t="s">
        <v>741</v>
      </c>
      <c r="E10" t="b">
        <v>1</v>
      </c>
    </row>
    <row r="11" spans="1:5">
      <c r="A11" t="s">
        <v>742</v>
      </c>
      <c r="B11" t="s">
        <v>743</v>
      </c>
      <c r="C11" t="s">
        <v>59</v>
      </c>
      <c r="D11" t="s">
        <v>744</v>
      </c>
      <c r="E11" t="b">
        <v>1</v>
      </c>
    </row>
    <row r="12" spans="1:5">
      <c r="A12" t="s">
        <v>745</v>
      </c>
      <c r="B12" t="s">
        <v>746</v>
      </c>
      <c r="C12" t="s">
        <v>747</v>
      </c>
      <c r="D12" t="s">
        <v>748</v>
      </c>
      <c r="E12" t="b">
        <v>1</v>
      </c>
    </row>
    <row r="13" spans="1:5">
      <c r="A13" t="s">
        <v>749</v>
      </c>
      <c r="B13" t="s">
        <v>750</v>
      </c>
      <c r="C13" t="s">
        <v>747</v>
      </c>
      <c r="D13" t="s">
        <v>751</v>
      </c>
      <c r="E13" t="b">
        <v>1</v>
      </c>
    </row>
    <row r="14" spans="1:5">
      <c r="A14" t="s">
        <v>752</v>
      </c>
      <c r="B14" t="s">
        <v>753</v>
      </c>
      <c r="C14" t="s">
        <v>754</v>
      </c>
      <c r="D14" t="s">
        <v>755</v>
      </c>
      <c r="E14" t="b">
        <v>1</v>
      </c>
    </row>
    <row r="15" spans="1:5">
      <c r="A15" t="s">
        <v>756</v>
      </c>
      <c r="B15" t="s">
        <v>757</v>
      </c>
      <c r="C15" t="s">
        <v>758</v>
      </c>
      <c r="D15" t="s">
        <v>759</v>
      </c>
      <c r="E15" t="b">
        <v>1</v>
      </c>
    </row>
    <row r="16" spans="1:5">
      <c r="A16" t="s">
        <v>760</v>
      </c>
      <c r="B16" t="s">
        <v>761</v>
      </c>
      <c r="C16" t="s">
        <v>717</v>
      </c>
      <c r="D16" t="s">
        <v>762</v>
      </c>
      <c r="E16" t="b">
        <v>1</v>
      </c>
    </row>
    <row r="17" spans="1:5">
      <c r="A17" t="s">
        <v>763</v>
      </c>
      <c r="B17" t="s">
        <v>764</v>
      </c>
      <c r="C17" t="s">
        <v>758</v>
      </c>
      <c r="D17" t="s">
        <v>765</v>
      </c>
      <c r="E17" t="b">
        <v>1</v>
      </c>
    </row>
    <row r="18" spans="1:5">
      <c r="A18" t="s">
        <v>766</v>
      </c>
      <c r="B18" t="s">
        <v>767</v>
      </c>
      <c r="C18" t="s">
        <v>768</v>
      </c>
      <c r="D18" t="s">
        <v>769</v>
      </c>
      <c r="E18" t="b">
        <v>1</v>
      </c>
    </row>
    <row r="19" spans="1:5">
      <c r="A19" t="s">
        <v>770</v>
      </c>
      <c r="B19" t="s">
        <v>771</v>
      </c>
      <c r="C19" t="s">
        <v>717</v>
      </c>
      <c r="D19" t="s">
        <v>772</v>
      </c>
      <c r="E19" t="b">
        <v>1</v>
      </c>
    </row>
    <row r="20" spans="1:5">
      <c r="A20" t="s">
        <v>773</v>
      </c>
      <c r="B20" t="s">
        <v>774</v>
      </c>
      <c r="C20" t="s">
        <v>758</v>
      </c>
      <c r="D20" t="s">
        <v>775</v>
      </c>
      <c r="E20" t="b">
        <v>1</v>
      </c>
    </row>
    <row r="21" spans="1:5">
      <c r="A21" t="s">
        <v>776</v>
      </c>
      <c r="B21" t="s">
        <v>777</v>
      </c>
      <c r="C21" t="s">
        <v>778</v>
      </c>
      <c r="D21" t="s">
        <v>779</v>
      </c>
      <c r="E21" t="b">
        <v>1</v>
      </c>
    </row>
    <row r="22" spans="1:5">
      <c r="A22" t="s">
        <v>780</v>
      </c>
      <c r="B22" t="s">
        <v>781</v>
      </c>
      <c r="C22" t="s">
        <v>782</v>
      </c>
      <c r="D22" t="s">
        <v>783</v>
      </c>
      <c r="E22" t="b">
        <v>1</v>
      </c>
    </row>
    <row r="23" spans="1:5">
      <c r="A23" t="s">
        <v>784</v>
      </c>
      <c r="B23" t="s">
        <v>785</v>
      </c>
      <c r="C23" t="s">
        <v>786</v>
      </c>
      <c r="D23" t="s">
        <v>787</v>
      </c>
      <c r="E23" t="b">
        <v>1</v>
      </c>
    </row>
    <row r="24" spans="1:5">
      <c r="A24" t="s">
        <v>788</v>
      </c>
      <c r="B24" t="s">
        <v>789</v>
      </c>
      <c r="C24" t="s">
        <v>717</v>
      </c>
      <c r="D24" t="s">
        <v>790</v>
      </c>
      <c r="E24" t="b">
        <v>1</v>
      </c>
    </row>
    <row r="25" spans="1:5">
      <c r="A25" t="s">
        <v>791</v>
      </c>
      <c r="B25" t="s">
        <v>792</v>
      </c>
      <c r="C25" t="s">
        <v>793</v>
      </c>
      <c r="D25" t="s">
        <v>794</v>
      </c>
      <c r="E25" t="b">
        <v>1</v>
      </c>
    </row>
    <row r="26" spans="1:5">
      <c r="A26" t="s">
        <v>795</v>
      </c>
      <c r="B26" t="s">
        <v>796</v>
      </c>
      <c r="C26" t="s">
        <v>797</v>
      </c>
      <c r="D26" t="s">
        <v>798</v>
      </c>
      <c r="E26" t="b">
        <v>1</v>
      </c>
    </row>
    <row r="27" spans="1:5">
      <c r="A27" t="s">
        <v>799</v>
      </c>
      <c r="B27" t="s">
        <v>800</v>
      </c>
      <c r="C27" t="s">
        <v>801</v>
      </c>
      <c r="D27" t="s">
        <v>802</v>
      </c>
      <c r="E27" t="b">
        <v>1</v>
      </c>
    </row>
    <row r="28" spans="1:5">
      <c r="A28" t="s">
        <v>803</v>
      </c>
      <c r="B28" t="s">
        <v>804</v>
      </c>
      <c r="C28" t="s">
        <v>801</v>
      </c>
      <c r="D28" t="s">
        <v>805</v>
      </c>
      <c r="E28" t="b">
        <v>1</v>
      </c>
    </row>
    <row r="29" spans="1:5">
      <c r="A29" t="s">
        <v>806</v>
      </c>
      <c r="B29" t="s">
        <v>807</v>
      </c>
      <c r="C29" t="s">
        <v>797</v>
      </c>
      <c r="D29" t="s">
        <v>808</v>
      </c>
      <c r="E29" t="b">
        <v>1</v>
      </c>
    </row>
    <row r="30" spans="1:5">
      <c r="A30" t="s">
        <v>809</v>
      </c>
      <c r="B30" t="s">
        <v>810</v>
      </c>
      <c r="C30" t="s">
        <v>717</v>
      </c>
      <c r="D30" t="s">
        <v>811</v>
      </c>
      <c r="E30" t="b">
        <v>1</v>
      </c>
    </row>
    <row r="31" spans="1:5">
      <c r="A31" t="s">
        <v>812</v>
      </c>
      <c r="B31" t="s">
        <v>813</v>
      </c>
      <c r="C31" t="s">
        <v>717</v>
      </c>
      <c r="D31" t="s">
        <v>814</v>
      </c>
      <c r="E31" t="b">
        <v>1</v>
      </c>
    </row>
    <row r="32" spans="1:5">
      <c r="A32" t="s">
        <v>815</v>
      </c>
      <c r="B32" t="s">
        <v>816</v>
      </c>
      <c r="C32" t="s">
        <v>717</v>
      </c>
      <c r="D32" t="s">
        <v>817</v>
      </c>
      <c r="E32" t="b">
        <v>1</v>
      </c>
    </row>
    <row r="33" spans="1:6">
      <c r="A33" t="s">
        <v>818</v>
      </c>
      <c r="B33" t="s">
        <v>819</v>
      </c>
      <c r="C33" t="s">
        <v>738</v>
      </c>
      <c r="D33" t="s">
        <v>820</v>
      </c>
      <c r="E33" t="b">
        <v>1</v>
      </c>
    </row>
    <row r="34" spans="1:6">
      <c r="A34" t="s">
        <v>821</v>
      </c>
      <c r="B34" t="s">
        <v>822</v>
      </c>
      <c r="C34" t="s">
        <v>717</v>
      </c>
      <c r="D34" t="s">
        <v>823</v>
      </c>
      <c r="E34" t="b">
        <v>1</v>
      </c>
    </row>
    <row r="35" spans="1:6">
      <c r="A35" t="s">
        <v>824</v>
      </c>
      <c r="B35" t="s">
        <v>825</v>
      </c>
      <c r="C35" t="s">
        <v>797</v>
      </c>
      <c r="D35" t="s">
        <v>826</v>
      </c>
      <c r="E35" t="b">
        <v>1</v>
      </c>
    </row>
    <row r="36" spans="1:6">
      <c r="A36" t="s">
        <v>827</v>
      </c>
      <c r="B36" t="s">
        <v>828</v>
      </c>
      <c r="C36" t="s">
        <v>717</v>
      </c>
      <c r="D36" t="s">
        <v>829</v>
      </c>
    </row>
    <row r="37" spans="1:6">
      <c r="A37" t="s">
        <v>830</v>
      </c>
      <c r="B37" t="s">
        <v>831</v>
      </c>
      <c r="C37" t="s">
        <v>717</v>
      </c>
      <c r="D37" t="s">
        <v>832</v>
      </c>
      <c r="E37" t="b">
        <v>1</v>
      </c>
    </row>
    <row r="38" spans="1:6">
      <c r="A38" t="s">
        <v>833</v>
      </c>
      <c r="B38" t="s">
        <v>834</v>
      </c>
      <c r="C38" t="s">
        <v>717</v>
      </c>
      <c r="D38" t="s">
        <v>835</v>
      </c>
      <c r="E38" t="b">
        <v>1</v>
      </c>
    </row>
    <row r="39" spans="1:6">
      <c r="A39" t="s">
        <v>836</v>
      </c>
      <c r="B39" t="s">
        <v>837</v>
      </c>
      <c r="C39" t="s">
        <v>717</v>
      </c>
      <c r="D39" t="s">
        <v>838</v>
      </c>
      <c r="E39" t="b">
        <v>1</v>
      </c>
    </row>
    <row r="40" spans="1:6">
      <c r="A40" t="s">
        <v>839</v>
      </c>
      <c r="B40" t="s">
        <v>840</v>
      </c>
      <c r="C40" t="s">
        <v>717</v>
      </c>
      <c r="D40" t="s">
        <v>841</v>
      </c>
      <c r="E40" t="b">
        <v>1</v>
      </c>
      <c r="F40" t="s">
        <v>842</v>
      </c>
    </row>
    <row r="41" spans="1:6">
      <c r="A41" t="s">
        <v>843</v>
      </c>
      <c r="B41" t="s">
        <v>844</v>
      </c>
      <c r="C41" t="s">
        <v>717</v>
      </c>
      <c r="D41" t="s">
        <v>845</v>
      </c>
      <c r="E41" t="b">
        <v>1</v>
      </c>
    </row>
    <row r="42" spans="1:6">
      <c r="A42" t="s">
        <v>846</v>
      </c>
      <c r="B42" t="s">
        <v>847</v>
      </c>
      <c r="C42" t="s">
        <v>717</v>
      </c>
      <c r="D42" t="s">
        <v>848</v>
      </c>
      <c r="E42" t="b">
        <v>1</v>
      </c>
    </row>
    <row r="43" spans="1:6">
      <c r="A43" t="s">
        <v>849</v>
      </c>
      <c r="B43" t="s">
        <v>850</v>
      </c>
      <c r="C43" t="s">
        <v>717</v>
      </c>
      <c r="D43" t="s">
        <v>851</v>
      </c>
      <c r="E43" t="b">
        <v>1</v>
      </c>
    </row>
    <row r="44" spans="1:6">
      <c r="A44" t="s">
        <v>852</v>
      </c>
      <c r="B44" t="s">
        <v>853</v>
      </c>
      <c r="C44" t="s">
        <v>717</v>
      </c>
      <c r="D44" t="s">
        <v>854</v>
      </c>
      <c r="E44" t="b">
        <v>1</v>
      </c>
    </row>
    <row r="45" spans="1:6">
      <c r="A45" t="s">
        <v>855</v>
      </c>
      <c r="B45" t="s">
        <v>856</v>
      </c>
      <c r="C45" t="s">
        <v>717</v>
      </c>
      <c r="D45" t="s">
        <v>857</v>
      </c>
      <c r="E45" t="b">
        <v>1</v>
      </c>
    </row>
    <row r="46" spans="1:6">
      <c r="A46" t="s">
        <v>858</v>
      </c>
      <c r="B46" t="s">
        <v>859</v>
      </c>
      <c r="C46" t="s">
        <v>717</v>
      </c>
      <c r="D46" t="s">
        <v>860</v>
      </c>
      <c r="E46" t="b">
        <v>1</v>
      </c>
    </row>
    <row r="47" spans="1:6">
      <c r="A47" t="s">
        <v>861</v>
      </c>
      <c r="B47" t="s">
        <v>862</v>
      </c>
      <c r="C47" t="s">
        <v>717</v>
      </c>
      <c r="D47" t="s">
        <v>863</v>
      </c>
      <c r="E47" t="b">
        <v>1</v>
      </c>
    </row>
    <row r="48" spans="1:6">
      <c r="A48" t="s">
        <v>864</v>
      </c>
      <c r="B48" t="s">
        <v>865</v>
      </c>
      <c r="C48" t="s">
        <v>717</v>
      </c>
      <c r="D48" t="s">
        <v>866</v>
      </c>
      <c r="E48" t="b">
        <v>1</v>
      </c>
    </row>
    <row r="49" spans="1:5">
      <c r="A49" t="s">
        <v>867</v>
      </c>
      <c r="B49" t="s">
        <v>868</v>
      </c>
      <c r="C49" t="s">
        <v>717</v>
      </c>
      <c r="D49" t="s">
        <v>869</v>
      </c>
      <c r="E49" t="b">
        <v>1</v>
      </c>
    </row>
    <row r="50" spans="1:5">
      <c r="A50" t="s">
        <v>870</v>
      </c>
      <c r="B50" t="s">
        <v>871</v>
      </c>
      <c r="C50" t="s">
        <v>717</v>
      </c>
      <c r="D50" t="s">
        <v>872</v>
      </c>
      <c r="E50" t="b">
        <v>1</v>
      </c>
    </row>
    <row r="51" spans="1:5">
      <c r="A51" t="s">
        <v>873</v>
      </c>
      <c r="B51" t="s">
        <v>874</v>
      </c>
      <c r="C51" t="s">
        <v>717</v>
      </c>
      <c r="D51" t="s">
        <v>875</v>
      </c>
      <c r="E51" t="b">
        <v>1</v>
      </c>
    </row>
    <row r="52" spans="1:5">
      <c r="A52" t="s">
        <v>876</v>
      </c>
      <c r="B52" t="s">
        <v>877</v>
      </c>
      <c r="C52" t="s">
        <v>717</v>
      </c>
      <c r="D52" t="s">
        <v>878</v>
      </c>
      <c r="E52" t="b">
        <v>1</v>
      </c>
    </row>
    <row r="53" spans="1:5">
      <c r="A53" t="s">
        <v>879</v>
      </c>
      <c r="B53" t="s">
        <v>880</v>
      </c>
      <c r="C53" t="s">
        <v>717</v>
      </c>
      <c r="D53" t="s">
        <v>881</v>
      </c>
      <c r="E53" t="b">
        <v>1</v>
      </c>
    </row>
    <row r="54" spans="1:5">
      <c r="A54" t="s">
        <v>882</v>
      </c>
      <c r="B54" t="s">
        <v>883</v>
      </c>
      <c r="C54" t="s">
        <v>717</v>
      </c>
      <c r="D54" t="s">
        <v>884</v>
      </c>
      <c r="E54" t="b">
        <v>1</v>
      </c>
    </row>
    <row r="55" spans="1:5">
      <c r="A55" t="s">
        <v>885</v>
      </c>
      <c r="B55" t="s">
        <v>886</v>
      </c>
      <c r="C55" t="s">
        <v>717</v>
      </c>
      <c r="D55" t="s">
        <v>887</v>
      </c>
      <c r="E55" t="b">
        <v>1</v>
      </c>
    </row>
    <row r="56" spans="1:5">
      <c r="A56" t="s">
        <v>888</v>
      </c>
      <c r="B56" t="s">
        <v>889</v>
      </c>
      <c r="C56" t="s">
        <v>717</v>
      </c>
      <c r="D56" t="s">
        <v>890</v>
      </c>
      <c r="E56" t="b">
        <v>1</v>
      </c>
    </row>
    <row r="57" spans="1:5">
      <c r="A57" t="s">
        <v>891</v>
      </c>
      <c r="B57" t="s">
        <v>892</v>
      </c>
      <c r="C57" t="s">
        <v>717</v>
      </c>
      <c r="D57" t="s">
        <v>893</v>
      </c>
      <c r="E57" t="b">
        <v>1</v>
      </c>
    </row>
    <row r="58" spans="1:5">
      <c r="A58" t="s">
        <v>894</v>
      </c>
      <c r="B58" t="s">
        <v>895</v>
      </c>
      <c r="C58" t="s">
        <v>717</v>
      </c>
      <c r="D58" t="s">
        <v>896</v>
      </c>
      <c r="E58" t="b">
        <v>1</v>
      </c>
    </row>
    <row r="59" spans="1:5">
      <c r="A59" t="s">
        <v>897</v>
      </c>
      <c r="B59" t="s">
        <v>898</v>
      </c>
      <c r="C59" t="s">
        <v>717</v>
      </c>
      <c r="D59" t="s">
        <v>899</v>
      </c>
      <c r="E59" t="b">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18CCE-A798-44D3-BC29-4503BDBA4F2C}">
  <dimension ref="A1:U99"/>
  <sheetViews>
    <sheetView topLeftCell="A81" workbookViewId="0">
      <selection activeCell="M12" sqref="M12"/>
    </sheetView>
  </sheetViews>
  <sheetFormatPr defaultRowHeight="15"/>
  <cols>
    <col min="1" max="1" width="29.140625" customWidth="1"/>
    <col min="2" max="2" width="47.85546875" customWidth="1"/>
    <col min="3" max="3" width="16.85546875" customWidth="1"/>
    <col min="4" max="4" width="17.28515625" style="684" customWidth="1"/>
    <col min="5" max="5" width="20.140625" customWidth="1"/>
    <col min="6" max="6" width="19.85546875" bestFit="1" customWidth="1"/>
    <col min="7" max="7" width="37.7109375" customWidth="1"/>
    <col min="8" max="8" width="19.140625" customWidth="1"/>
    <col min="9" max="9" width="33" customWidth="1"/>
    <col min="10" max="10" width="39.5703125" customWidth="1"/>
    <col min="11" max="11" width="11.28515625" customWidth="1"/>
    <col min="12" max="12" width="25" customWidth="1"/>
    <col min="13" max="13" width="15.85546875" customWidth="1"/>
    <col min="14" max="14" width="35" customWidth="1"/>
    <col min="15" max="15" width="45.28515625" customWidth="1"/>
    <col min="16" max="16" width="21.5703125" customWidth="1"/>
    <col min="17" max="17" width="11" customWidth="1"/>
    <col min="18" max="18" width="22.28515625" customWidth="1"/>
  </cols>
  <sheetData>
    <row r="1" spans="1:19" ht="40.5">
      <c r="A1" s="639" t="s">
        <v>900</v>
      </c>
      <c r="B1" s="640" t="s">
        <v>901</v>
      </c>
      <c r="C1" s="640" t="s">
        <v>902</v>
      </c>
      <c r="D1" s="640" t="s">
        <v>903</v>
      </c>
      <c r="E1" s="640" t="s">
        <v>904</v>
      </c>
      <c r="F1" s="640" t="s">
        <v>905</v>
      </c>
      <c r="G1" s="640" t="s">
        <v>906</v>
      </c>
      <c r="H1" s="640" t="s">
        <v>907</v>
      </c>
      <c r="I1" s="640" t="s">
        <v>908</v>
      </c>
      <c r="J1" s="640" t="s">
        <v>909</v>
      </c>
      <c r="K1" s="640" t="s">
        <v>910</v>
      </c>
      <c r="L1" s="640" t="s">
        <v>911</v>
      </c>
      <c r="M1" s="640" t="s">
        <v>912</v>
      </c>
      <c r="N1" s="640" t="s">
        <v>913</v>
      </c>
      <c r="O1" s="640" t="s">
        <v>914</v>
      </c>
      <c r="P1" s="641" t="s">
        <v>915</v>
      </c>
      <c r="Q1" s="641" t="s">
        <v>916</v>
      </c>
      <c r="S1" s="642" t="s">
        <v>917</v>
      </c>
    </row>
    <row r="2" spans="1:19">
      <c r="A2" s="643" t="s">
        <v>55</v>
      </c>
      <c r="B2" s="644"/>
      <c r="C2" s="644"/>
      <c r="D2" s="644"/>
      <c r="E2" s="644"/>
      <c r="F2" s="644"/>
      <c r="G2" s="644"/>
      <c r="H2" s="644"/>
      <c r="I2" s="644"/>
      <c r="J2" s="644"/>
      <c r="K2" s="644"/>
      <c r="L2" s="644"/>
      <c r="M2" s="644"/>
      <c r="N2" s="644"/>
      <c r="O2" s="644"/>
      <c r="P2" s="644"/>
    </row>
    <row r="3" spans="1:19" ht="67.5">
      <c r="A3" s="645" t="s">
        <v>918</v>
      </c>
      <c r="B3" s="645" t="s">
        <v>919</v>
      </c>
      <c r="C3" s="645" t="s">
        <v>920</v>
      </c>
      <c r="D3" s="646">
        <v>1</v>
      </c>
      <c r="E3" s="645" t="s">
        <v>921</v>
      </c>
      <c r="F3" s="645" t="s">
        <v>922</v>
      </c>
      <c r="G3" s="645" t="s">
        <v>923</v>
      </c>
      <c r="H3" s="645"/>
      <c r="I3" s="645" t="s">
        <v>924</v>
      </c>
      <c r="J3" s="645" t="s">
        <v>925</v>
      </c>
      <c r="K3" s="645">
        <v>30206</v>
      </c>
      <c r="L3" s="645" t="s">
        <v>926</v>
      </c>
      <c r="M3" s="647"/>
      <c r="N3" s="645" t="s">
        <v>927</v>
      </c>
      <c r="O3" s="645" t="s">
        <v>928</v>
      </c>
      <c r="P3" s="648" t="s">
        <v>929</v>
      </c>
      <c r="R3" s="47" t="s">
        <v>930</v>
      </c>
      <c r="S3" s="649"/>
    </row>
    <row r="4" spans="1:19" ht="108">
      <c r="A4" s="645" t="s">
        <v>931</v>
      </c>
      <c r="B4" s="645"/>
      <c r="C4" s="645" t="s">
        <v>920</v>
      </c>
      <c r="D4" s="646" t="s">
        <v>932</v>
      </c>
      <c r="E4" s="645" t="s">
        <v>933</v>
      </c>
      <c r="F4" s="645" t="s">
        <v>922</v>
      </c>
      <c r="G4" s="645" t="s">
        <v>934</v>
      </c>
      <c r="H4" s="645"/>
      <c r="I4" s="645" t="s">
        <v>924</v>
      </c>
      <c r="J4" s="645" t="s">
        <v>925</v>
      </c>
      <c r="K4" s="645">
        <v>30206</v>
      </c>
      <c r="L4" s="645" t="s">
        <v>935</v>
      </c>
      <c r="M4" s="647"/>
      <c r="N4" s="645" t="s">
        <v>927</v>
      </c>
      <c r="O4" s="645" t="s">
        <v>936</v>
      </c>
      <c r="P4" s="648" t="s">
        <v>929</v>
      </c>
      <c r="R4" s="47" t="s">
        <v>930</v>
      </c>
    </row>
    <row r="5" spans="1:19" ht="45">
      <c r="A5" s="645" t="s">
        <v>931</v>
      </c>
      <c r="B5" s="645"/>
      <c r="C5" s="645" t="s">
        <v>920</v>
      </c>
      <c r="D5" s="646">
        <v>1</v>
      </c>
      <c r="E5" s="645" t="s">
        <v>933</v>
      </c>
      <c r="F5" s="645" t="s">
        <v>922</v>
      </c>
      <c r="G5" s="647"/>
      <c r="H5" s="645"/>
      <c r="I5" s="645" t="s">
        <v>924</v>
      </c>
      <c r="J5" s="645" t="s">
        <v>925</v>
      </c>
      <c r="K5" s="645">
        <v>30206</v>
      </c>
      <c r="L5" s="645" t="s">
        <v>935</v>
      </c>
      <c r="M5" s="647"/>
      <c r="N5" s="645" t="s">
        <v>927</v>
      </c>
      <c r="O5" s="645" t="s">
        <v>937</v>
      </c>
      <c r="P5" s="650" t="s">
        <v>929</v>
      </c>
      <c r="R5" s="47" t="s">
        <v>930</v>
      </c>
    </row>
    <row r="6" spans="1:19">
      <c r="A6" s="643" t="s">
        <v>69</v>
      </c>
      <c r="B6" s="644"/>
      <c r="C6" s="644"/>
      <c r="D6" s="644"/>
      <c r="E6" s="644"/>
      <c r="F6" s="644"/>
      <c r="G6" s="644"/>
      <c r="H6" s="644"/>
      <c r="I6" s="644"/>
      <c r="J6" s="644"/>
      <c r="K6" s="644"/>
      <c r="L6" s="644"/>
      <c r="M6" s="644"/>
      <c r="N6" s="644"/>
      <c r="O6" s="644"/>
      <c r="P6" s="644"/>
    </row>
    <row r="7" spans="1:19">
      <c r="A7" s="645" t="s">
        <v>938</v>
      </c>
      <c r="B7" s="645" t="s">
        <v>939</v>
      </c>
      <c r="C7" s="645" t="s">
        <v>940</v>
      </c>
      <c r="D7" s="646">
        <v>1</v>
      </c>
      <c r="E7" s="645" t="s">
        <v>922</v>
      </c>
      <c r="F7" s="647"/>
      <c r="G7" s="647"/>
      <c r="H7" s="645"/>
      <c r="I7" s="645"/>
      <c r="J7" s="647"/>
      <c r="K7" s="647"/>
      <c r="L7" s="647"/>
      <c r="M7" s="647"/>
      <c r="N7" s="647"/>
      <c r="P7" s="648" t="s">
        <v>941</v>
      </c>
      <c r="S7" t="s">
        <v>942</v>
      </c>
    </row>
    <row r="8" spans="1:19">
      <c r="A8" s="643" t="s">
        <v>943</v>
      </c>
      <c r="B8" s="644"/>
      <c r="C8" s="644"/>
      <c r="D8" s="644"/>
      <c r="E8" s="644"/>
      <c r="F8" s="644"/>
      <c r="G8" s="644"/>
      <c r="H8" s="644"/>
      <c r="I8" s="644"/>
      <c r="J8" s="644"/>
      <c r="K8" s="644"/>
      <c r="L8" s="644"/>
      <c r="M8" s="644"/>
      <c r="N8" s="644"/>
      <c r="O8" s="644"/>
      <c r="P8" s="644"/>
    </row>
    <row r="9" spans="1:19" s="654" customFormat="1">
      <c r="A9" s="651" t="s">
        <v>944</v>
      </c>
      <c r="B9" s="652" t="s">
        <v>945</v>
      </c>
      <c r="C9" s="652" t="s">
        <v>920</v>
      </c>
      <c r="D9" s="646">
        <v>2</v>
      </c>
      <c r="E9" s="653" t="s">
        <v>946</v>
      </c>
      <c r="F9" s="647"/>
      <c r="G9" s="647"/>
      <c r="H9" s="645"/>
      <c r="I9" s="645"/>
      <c r="J9" s="647"/>
      <c r="K9" s="647"/>
      <c r="L9" s="647"/>
      <c r="M9" s="647"/>
      <c r="N9" s="645"/>
      <c r="O9" s="645"/>
      <c r="P9" s="645"/>
    </row>
    <row r="10" spans="1:19" s="654" customFormat="1">
      <c r="A10" s="651" t="s">
        <v>944</v>
      </c>
      <c r="B10" s="652" t="s">
        <v>947</v>
      </c>
      <c r="C10" s="652" t="s">
        <v>920</v>
      </c>
      <c r="D10" s="646">
        <v>2</v>
      </c>
      <c r="E10" s="645" t="s">
        <v>948</v>
      </c>
      <c r="F10" s="647"/>
      <c r="G10" s="647"/>
      <c r="H10" s="645"/>
      <c r="I10" s="645"/>
      <c r="J10" s="647"/>
      <c r="K10" s="647"/>
      <c r="L10" s="647"/>
      <c r="M10" s="647"/>
      <c r="N10" s="645"/>
      <c r="O10" s="645"/>
      <c r="P10" s="645"/>
    </row>
    <row r="11" spans="1:19" s="654" customFormat="1">
      <c r="A11" s="651" t="s">
        <v>944</v>
      </c>
      <c r="B11" s="652" t="s">
        <v>949</v>
      </c>
      <c r="C11" s="652" t="s">
        <v>920</v>
      </c>
      <c r="D11" s="646">
        <v>2</v>
      </c>
      <c r="E11" s="645" t="s">
        <v>948</v>
      </c>
      <c r="F11" s="647"/>
      <c r="G11" s="647"/>
      <c r="H11" s="645"/>
      <c r="I11" s="645"/>
      <c r="J11" s="647"/>
      <c r="K11" s="647"/>
      <c r="L11" s="647"/>
      <c r="M11" s="647"/>
      <c r="N11" s="645"/>
      <c r="O11" s="645"/>
      <c r="P11" s="645"/>
    </row>
    <row r="12" spans="1:19" ht="81.75">
      <c r="A12" s="645" t="s">
        <v>950</v>
      </c>
      <c r="B12" s="645" t="s">
        <v>951</v>
      </c>
      <c r="C12" s="645" t="s">
        <v>920</v>
      </c>
      <c r="D12" s="646">
        <v>2</v>
      </c>
      <c r="E12" s="645" t="s">
        <v>948</v>
      </c>
      <c r="F12" s="645" t="s">
        <v>922</v>
      </c>
      <c r="G12" s="645" t="s">
        <v>952</v>
      </c>
      <c r="H12" s="645"/>
      <c r="I12" s="645" t="s">
        <v>953</v>
      </c>
      <c r="J12" s="655" t="s">
        <v>954</v>
      </c>
      <c r="K12" s="645">
        <v>22</v>
      </c>
      <c r="L12" s="656" t="s">
        <v>955</v>
      </c>
      <c r="M12" s="645" t="s">
        <v>956</v>
      </c>
      <c r="N12" s="645" t="s">
        <v>927</v>
      </c>
      <c r="O12" s="645" t="s">
        <v>957</v>
      </c>
      <c r="P12" s="648" t="s">
        <v>929</v>
      </c>
    </row>
    <row r="13" spans="1:19" ht="81.75">
      <c r="A13" s="645" t="s">
        <v>950</v>
      </c>
      <c r="B13" s="645" t="s">
        <v>958</v>
      </c>
      <c r="C13" s="645" t="s">
        <v>920</v>
      </c>
      <c r="D13" s="646">
        <v>2</v>
      </c>
      <c r="E13" s="645" t="s">
        <v>948</v>
      </c>
      <c r="F13" s="645" t="s">
        <v>922</v>
      </c>
      <c r="G13" s="645" t="s">
        <v>959</v>
      </c>
      <c r="H13" s="645"/>
      <c r="I13" s="645" t="s">
        <v>953</v>
      </c>
      <c r="J13" s="655" t="s">
        <v>954</v>
      </c>
      <c r="K13" s="645">
        <v>22</v>
      </c>
      <c r="L13" s="656" t="s">
        <v>955</v>
      </c>
      <c r="M13" s="645" t="s">
        <v>956</v>
      </c>
      <c r="N13" s="645" t="s">
        <v>927</v>
      </c>
      <c r="O13" s="645" t="s">
        <v>957</v>
      </c>
      <c r="P13" s="648" t="s">
        <v>929</v>
      </c>
    </row>
    <row r="14" spans="1:19" ht="81">
      <c r="A14" s="645" t="s">
        <v>950</v>
      </c>
      <c r="B14" s="645" t="s">
        <v>960</v>
      </c>
      <c r="C14" s="645" t="s">
        <v>920</v>
      </c>
      <c r="D14" s="646">
        <v>2</v>
      </c>
      <c r="E14" s="645" t="s">
        <v>948</v>
      </c>
      <c r="F14" s="645" t="s">
        <v>922</v>
      </c>
      <c r="G14" s="645" t="s">
        <v>961</v>
      </c>
      <c r="H14" s="645"/>
      <c r="I14" s="645" t="s">
        <v>953</v>
      </c>
      <c r="J14" s="655" t="s">
        <v>954</v>
      </c>
      <c r="K14" s="645">
        <v>22</v>
      </c>
      <c r="L14" s="656" t="s">
        <v>955</v>
      </c>
      <c r="M14" s="645" t="s">
        <v>956</v>
      </c>
      <c r="N14" s="645" t="s">
        <v>927</v>
      </c>
      <c r="O14" s="645" t="s">
        <v>957</v>
      </c>
      <c r="P14" s="648" t="s">
        <v>929</v>
      </c>
    </row>
    <row r="15" spans="1:19" ht="81.75">
      <c r="A15" s="645" t="s">
        <v>962</v>
      </c>
      <c r="B15" s="645" t="s">
        <v>963</v>
      </c>
      <c r="C15" s="645" t="s">
        <v>920</v>
      </c>
      <c r="D15" s="646">
        <v>2</v>
      </c>
      <c r="E15" s="645" t="s">
        <v>946</v>
      </c>
      <c r="F15" s="645" t="s">
        <v>922</v>
      </c>
      <c r="G15" s="645" t="s">
        <v>964</v>
      </c>
      <c r="H15" s="645"/>
      <c r="I15" s="645" t="s">
        <v>953</v>
      </c>
      <c r="J15" s="655" t="s">
        <v>954</v>
      </c>
      <c r="K15" s="645">
        <v>22</v>
      </c>
      <c r="L15" s="656" t="s">
        <v>955</v>
      </c>
      <c r="M15" s="645" t="s">
        <v>956</v>
      </c>
      <c r="N15" s="645"/>
      <c r="O15" s="645"/>
      <c r="P15" s="648"/>
    </row>
    <row r="16" spans="1:19">
      <c r="A16" s="645" t="s">
        <v>962</v>
      </c>
      <c r="B16" s="645" t="s">
        <v>965</v>
      </c>
      <c r="C16" s="645" t="s">
        <v>920</v>
      </c>
      <c r="D16" s="646">
        <v>2</v>
      </c>
      <c r="E16" s="645" t="s">
        <v>922</v>
      </c>
      <c r="F16" s="645" t="s">
        <v>922</v>
      </c>
      <c r="G16" s="645" t="s">
        <v>177</v>
      </c>
      <c r="H16" s="645"/>
      <c r="I16" s="645" t="s">
        <v>966</v>
      </c>
      <c r="J16" s="645" t="s">
        <v>967</v>
      </c>
      <c r="K16" s="645">
        <v>22</v>
      </c>
      <c r="L16" s="657" t="s">
        <v>968</v>
      </c>
      <c r="M16" s="645" t="s">
        <v>969</v>
      </c>
      <c r="N16" s="645"/>
      <c r="O16" s="645"/>
      <c r="P16" s="648"/>
    </row>
    <row r="17" spans="1:16" ht="27">
      <c r="A17" s="645" t="s">
        <v>962</v>
      </c>
      <c r="B17" s="645" t="s">
        <v>970</v>
      </c>
      <c r="C17" s="645" t="s">
        <v>920</v>
      </c>
      <c r="D17" s="646">
        <v>2</v>
      </c>
      <c r="E17" s="645" t="s">
        <v>922</v>
      </c>
      <c r="F17" s="645" t="s">
        <v>922</v>
      </c>
      <c r="G17" s="645" t="s">
        <v>394</v>
      </c>
      <c r="H17" s="645"/>
      <c r="I17" s="645" t="s">
        <v>971</v>
      </c>
      <c r="J17" s="645" t="s">
        <v>967</v>
      </c>
      <c r="K17" s="645">
        <v>22</v>
      </c>
      <c r="L17" s="657" t="s">
        <v>968</v>
      </c>
      <c r="M17" s="645" t="s">
        <v>969</v>
      </c>
      <c r="N17" s="645"/>
      <c r="O17" s="645"/>
      <c r="P17" s="648"/>
    </row>
    <row r="18" spans="1:16" ht="15" customHeight="1">
      <c r="A18" s="645" t="s">
        <v>962</v>
      </c>
      <c r="B18" s="645" t="s">
        <v>972</v>
      </c>
      <c r="C18" s="645" t="s">
        <v>920</v>
      </c>
      <c r="D18" s="646">
        <v>2</v>
      </c>
      <c r="E18" s="645" t="s">
        <v>922</v>
      </c>
      <c r="F18" s="645" t="s">
        <v>922</v>
      </c>
      <c r="G18" s="645" t="s">
        <v>170</v>
      </c>
      <c r="H18" s="645"/>
      <c r="I18" s="645" t="s">
        <v>973</v>
      </c>
      <c r="J18" s="645" t="s">
        <v>967</v>
      </c>
      <c r="K18" s="645">
        <v>22</v>
      </c>
      <c r="L18" s="645" t="s">
        <v>968</v>
      </c>
      <c r="M18" s="645" t="s">
        <v>969</v>
      </c>
      <c r="N18" s="645"/>
      <c r="O18" s="645"/>
      <c r="P18" s="648"/>
    </row>
    <row r="19" spans="1:16" ht="15" customHeight="1">
      <c r="A19" s="658" t="s">
        <v>974</v>
      </c>
      <c r="B19" s="645"/>
      <c r="C19" s="645"/>
      <c r="D19" s="646"/>
      <c r="E19" s="645"/>
      <c r="F19" s="645"/>
      <c r="G19" s="645" t="s">
        <v>975</v>
      </c>
      <c r="H19" s="645"/>
      <c r="I19" s="645" t="s">
        <v>976</v>
      </c>
      <c r="J19" s="658" t="s">
        <v>977</v>
      </c>
      <c r="K19" s="658">
        <v>22</v>
      </c>
      <c r="L19" s="657" t="s">
        <v>968</v>
      </c>
      <c r="M19" s="658" t="s">
        <v>978</v>
      </c>
      <c r="N19" s="645"/>
      <c r="O19" s="645"/>
      <c r="P19" s="648"/>
    </row>
    <row r="20" spans="1:16" ht="15" customHeight="1">
      <c r="A20" s="645" t="s">
        <v>979</v>
      </c>
      <c r="B20" s="645" t="s">
        <v>980</v>
      </c>
      <c r="C20" s="645" t="s">
        <v>920</v>
      </c>
      <c r="D20" s="646" t="s">
        <v>981</v>
      </c>
      <c r="E20" s="645" t="s">
        <v>948</v>
      </c>
      <c r="F20" s="645"/>
      <c r="G20" s="645"/>
      <c r="H20" s="645"/>
      <c r="I20" s="645"/>
      <c r="J20" s="645"/>
      <c r="K20" s="645"/>
      <c r="L20" s="645"/>
      <c r="M20" s="645"/>
      <c r="N20" s="645"/>
      <c r="O20" s="645"/>
      <c r="P20" s="648"/>
    </row>
    <row r="21" spans="1:16">
      <c r="A21" s="659" t="s">
        <v>65</v>
      </c>
      <c r="B21" s="660"/>
      <c r="C21" s="660"/>
      <c r="D21" s="661"/>
      <c r="E21" s="660"/>
      <c r="F21" s="660"/>
      <c r="G21" s="660"/>
      <c r="H21" s="660"/>
      <c r="I21" s="660"/>
      <c r="J21" s="660"/>
      <c r="K21" s="660"/>
      <c r="L21" s="660"/>
      <c r="M21" s="660"/>
      <c r="N21" s="660"/>
      <c r="O21" s="660"/>
      <c r="P21" s="660"/>
    </row>
    <row r="22" spans="1:16" ht="15" customHeight="1">
      <c r="A22" s="652" t="s">
        <v>982</v>
      </c>
      <c r="B22" s="652" t="s">
        <v>983</v>
      </c>
      <c r="C22" s="652" t="s">
        <v>940</v>
      </c>
      <c r="D22" s="662">
        <v>1</v>
      </c>
      <c r="E22" s="652"/>
      <c r="F22" s="663" t="s">
        <v>922</v>
      </c>
      <c r="G22" s="652" t="s">
        <v>983</v>
      </c>
      <c r="H22" s="652"/>
      <c r="I22" s="652" t="s">
        <v>924</v>
      </c>
      <c r="J22" s="652" t="s">
        <v>984</v>
      </c>
      <c r="K22" s="664">
        <v>22</v>
      </c>
      <c r="L22" s="645" t="s">
        <v>985</v>
      </c>
      <c r="M22" s="645" t="s">
        <v>986</v>
      </c>
      <c r="N22" s="652"/>
      <c r="O22" s="645" t="s">
        <v>987</v>
      </c>
      <c r="P22" s="652" t="s">
        <v>988</v>
      </c>
    </row>
    <row r="23" spans="1:16">
      <c r="A23" s="652"/>
      <c r="B23" s="652" t="s">
        <v>989</v>
      </c>
      <c r="C23" s="652" t="s">
        <v>940</v>
      </c>
      <c r="D23" s="662">
        <v>1</v>
      </c>
      <c r="E23" s="652"/>
      <c r="F23" s="663" t="s">
        <v>922</v>
      </c>
      <c r="G23" s="652" t="s">
        <v>989</v>
      </c>
      <c r="H23" s="652"/>
      <c r="I23" s="652" t="s">
        <v>924</v>
      </c>
      <c r="J23" s="652" t="s">
        <v>984</v>
      </c>
      <c r="K23" s="664">
        <v>22</v>
      </c>
      <c r="L23" s="645" t="s">
        <v>985</v>
      </c>
      <c r="M23" s="645"/>
      <c r="N23" s="652"/>
      <c r="O23" s="645" t="s">
        <v>987</v>
      </c>
      <c r="P23" s="652" t="s">
        <v>988</v>
      </c>
    </row>
    <row r="24" spans="1:16">
      <c r="A24" s="652"/>
      <c r="B24" s="652" t="s">
        <v>990</v>
      </c>
      <c r="C24" s="652" t="s">
        <v>940</v>
      </c>
      <c r="D24" s="662">
        <v>1</v>
      </c>
      <c r="E24" s="652"/>
      <c r="F24" s="663" t="s">
        <v>922</v>
      </c>
      <c r="G24" s="652" t="s">
        <v>990</v>
      </c>
      <c r="H24" s="652"/>
      <c r="I24" s="652" t="s">
        <v>924</v>
      </c>
      <c r="J24" s="652" t="s">
        <v>984</v>
      </c>
      <c r="K24" s="664">
        <v>22</v>
      </c>
      <c r="L24" s="645" t="s">
        <v>985</v>
      </c>
      <c r="M24" s="645"/>
      <c r="N24" s="652"/>
      <c r="O24" s="645" t="s">
        <v>987</v>
      </c>
      <c r="P24" s="652" t="s">
        <v>988</v>
      </c>
    </row>
    <row r="25" spans="1:16">
      <c r="A25" s="652"/>
      <c r="B25" s="652" t="s">
        <v>991</v>
      </c>
      <c r="C25" s="652" t="s">
        <v>940</v>
      </c>
      <c r="D25" s="662">
        <v>1</v>
      </c>
      <c r="E25" s="652"/>
      <c r="F25" s="663" t="s">
        <v>922</v>
      </c>
      <c r="G25" s="652" t="s">
        <v>991</v>
      </c>
      <c r="H25" s="652"/>
      <c r="I25" s="652" t="s">
        <v>924</v>
      </c>
      <c r="J25" s="652" t="s">
        <v>984</v>
      </c>
      <c r="K25" s="664">
        <v>22</v>
      </c>
      <c r="L25" s="645" t="s">
        <v>985</v>
      </c>
      <c r="M25" s="645"/>
      <c r="N25" s="652"/>
      <c r="O25" s="645" t="s">
        <v>987</v>
      </c>
      <c r="P25" s="652" t="s">
        <v>988</v>
      </c>
    </row>
    <row r="26" spans="1:16">
      <c r="A26" s="652"/>
      <c r="B26" s="652" t="s">
        <v>992</v>
      </c>
      <c r="C26" s="652" t="s">
        <v>940</v>
      </c>
      <c r="D26" s="662">
        <v>1</v>
      </c>
      <c r="E26" s="652"/>
      <c r="F26" s="663" t="s">
        <v>922</v>
      </c>
      <c r="G26" s="652" t="s">
        <v>992</v>
      </c>
      <c r="H26" s="652"/>
      <c r="I26" s="652" t="s">
        <v>924</v>
      </c>
      <c r="J26" s="652" t="s">
        <v>984</v>
      </c>
      <c r="K26" s="664">
        <v>22</v>
      </c>
      <c r="L26" s="645" t="s">
        <v>985</v>
      </c>
      <c r="M26" s="645"/>
      <c r="N26" s="652"/>
      <c r="O26" s="645" t="s">
        <v>987</v>
      </c>
      <c r="P26" s="652" t="s">
        <v>988</v>
      </c>
    </row>
    <row r="27" spans="1:16">
      <c r="A27" s="659" t="s">
        <v>61</v>
      </c>
      <c r="B27" s="660"/>
      <c r="C27" s="660"/>
      <c r="D27" s="661"/>
      <c r="E27" s="660"/>
      <c r="F27" s="660"/>
      <c r="G27" s="660"/>
      <c r="H27" s="660"/>
      <c r="I27" s="660"/>
      <c r="J27" s="660"/>
      <c r="K27" s="660"/>
      <c r="L27" s="660"/>
      <c r="M27" s="660"/>
      <c r="N27" s="660"/>
      <c r="O27" s="660"/>
      <c r="P27" s="660"/>
    </row>
    <row r="28" spans="1:16">
      <c r="A28" s="665" t="s">
        <v>993</v>
      </c>
      <c r="B28" s="652" t="s">
        <v>994</v>
      </c>
      <c r="C28" s="652" t="s">
        <v>940</v>
      </c>
      <c r="D28" s="662">
        <v>1</v>
      </c>
      <c r="E28" s="652"/>
      <c r="F28" s="663" t="s">
        <v>922</v>
      </c>
      <c r="G28" s="652" t="s">
        <v>994</v>
      </c>
      <c r="H28" s="652"/>
      <c r="I28" s="652" t="s">
        <v>995</v>
      </c>
      <c r="J28" s="652" t="s">
        <v>996</v>
      </c>
      <c r="K28" s="664">
        <v>22</v>
      </c>
      <c r="L28" s="645" t="s">
        <v>997</v>
      </c>
      <c r="M28" s="645" t="s">
        <v>998</v>
      </c>
      <c r="N28" s="652"/>
      <c r="O28" s="645" t="s">
        <v>987</v>
      </c>
      <c r="P28" s="652" t="s">
        <v>988</v>
      </c>
    </row>
    <row r="29" spans="1:16">
      <c r="A29" s="665" t="s">
        <v>999</v>
      </c>
      <c r="B29" s="652" t="s">
        <v>1000</v>
      </c>
      <c r="C29" s="652" t="s">
        <v>940</v>
      </c>
      <c r="D29" s="662">
        <v>1</v>
      </c>
      <c r="E29" s="652"/>
      <c r="F29" s="663" t="s">
        <v>922</v>
      </c>
      <c r="G29" s="652" t="s">
        <v>1000</v>
      </c>
      <c r="H29" s="652"/>
      <c r="I29" s="652" t="s">
        <v>1001</v>
      </c>
      <c r="J29" s="652" t="s">
        <v>996</v>
      </c>
      <c r="K29" s="664">
        <v>22</v>
      </c>
      <c r="L29" s="645" t="s">
        <v>997</v>
      </c>
      <c r="M29" s="645"/>
      <c r="N29" s="652"/>
      <c r="O29" s="645" t="s">
        <v>987</v>
      </c>
      <c r="P29" s="652" t="s">
        <v>988</v>
      </c>
    </row>
    <row r="30" spans="1:16">
      <c r="A30" s="665" t="s">
        <v>1002</v>
      </c>
      <c r="B30" s="652" t="s">
        <v>1003</v>
      </c>
      <c r="C30" s="652" t="s">
        <v>940</v>
      </c>
      <c r="D30" s="662">
        <v>1</v>
      </c>
      <c r="E30" s="652"/>
      <c r="F30" s="663" t="s">
        <v>922</v>
      </c>
      <c r="G30" s="652" t="s">
        <v>1003</v>
      </c>
      <c r="H30" s="652"/>
      <c r="I30" s="652" t="s">
        <v>1004</v>
      </c>
      <c r="J30" s="652" t="s">
        <v>996</v>
      </c>
      <c r="K30" s="664">
        <v>22</v>
      </c>
      <c r="L30" s="645" t="s">
        <v>997</v>
      </c>
      <c r="M30" s="645"/>
      <c r="N30" s="652"/>
      <c r="O30" s="645" t="s">
        <v>987</v>
      </c>
      <c r="P30" s="652" t="s">
        <v>988</v>
      </c>
    </row>
    <row r="31" spans="1:16">
      <c r="A31" s="665" t="s">
        <v>1005</v>
      </c>
      <c r="B31" s="652" t="s">
        <v>1006</v>
      </c>
      <c r="C31" s="652" t="s">
        <v>940</v>
      </c>
      <c r="D31" s="662">
        <v>1</v>
      </c>
      <c r="E31" s="652"/>
      <c r="F31" s="663" t="s">
        <v>922</v>
      </c>
      <c r="G31" s="652" t="s">
        <v>1006</v>
      </c>
      <c r="H31" s="652"/>
      <c r="I31" s="652" t="s">
        <v>1007</v>
      </c>
      <c r="J31" s="652" t="s">
        <v>996</v>
      </c>
      <c r="K31" s="664">
        <v>22</v>
      </c>
      <c r="L31" s="645" t="s">
        <v>997</v>
      </c>
      <c r="M31" s="645"/>
      <c r="N31" s="652"/>
      <c r="O31" s="645" t="s">
        <v>987</v>
      </c>
      <c r="P31" s="652" t="s">
        <v>988</v>
      </c>
    </row>
    <row r="32" spans="1:16">
      <c r="A32" s="665" t="s">
        <v>1008</v>
      </c>
      <c r="B32" s="652" t="s">
        <v>1009</v>
      </c>
      <c r="C32" s="652" t="s">
        <v>940</v>
      </c>
      <c r="D32" s="662">
        <v>1</v>
      </c>
      <c r="E32" s="652"/>
      <c r="F32" s="663" t="s">
        <v>922</v>
      </c>
      <c r="G32" s="652" t="s">
        <v>1009</v>
      </c>
      <c r="H32" s="652"/>
      <c r="I32" s="652" t="s">
        <v>1010</v>
      </c>
      <c r="J32" s="652" t="s">
        <v>996</v>
      </c>
      <c r="K32" s="664">
        <v>22</v>
      </c>
      <c r="L32" s="645" t="s">
        <v>997</v>
      </c>
      <c r="M32" s="645"/>
      <c r="N32" s="652"/>
      <c r="O32" s="645" t="s">
        <v>987</v>
      </c>
      <c r="P32" s="652" t="s">
        <v>988</v>
      </c>
    </row>
    <row r="33" spans="1:21">
      <c r="A33" s="665" t="s">
        <v>1011</v>
      </c>
      <c r="B33" s="652" t="s">
        <v>1012</v>
      </c>
      <c r="C33" s="652" t="s">
        <v>940</v>
      </c>
      <c r="D33" s="662">
        <v>1</v>
      </c>
      <c r="E33" s="652"/>
      <c r="F33" s="663" t="s">
        <v>922</v>
      </c>
      <c r="G33" s="652" t="s">
        <v>1012</v>
      </c>
      <c r="H33" s="652"/>
      <c r="I33" s="652" t="s">
        <v>1007</v>
      </c>
      <c r="J33" s="652" t="s">
        <v>996</v>
      </c>
      <c r="K33" s="664">
        <v>22</v>
      </c>
      <c r="L33" s="645" t="s">
        <v>997</v>
      </c>
      <c r="M33" s="645"/>
      <c r="N33" s="652"/>
      <c r="O33" s="645" t="s">
        <v>987</v>
      </c>
      <c r="P33" s="652" t="s">
        <v>988</v>
      </c>
    </row>
    <row r="34" spans="1:21">
      <c r="A34" s="665" t="s">
        <v>1013</v>
      </c>
      <c r="B34" s="652" t="s">
        <v>1014</v>
      </c>
      <c r="C34" s="652" t="s">
        <v>940</v>
      </c>
      <c r="D34" s="662">
        <v>1</v>
      </c>
      <c r="E34" s="652"/>
      <c r="F34" s="663" t="s">
        <v>922</v>
      </c>
      <c r="G34" s="652" t="s">
        <v>1014</v>
      </c>
      <c r="H34" s="652"/>
      <c r="I34" s="652" t="s">
        <v>1015</v>
      </c>
      <c r="J34" s="652" t="s">
        <v>996</v>
      </c>
      <c r="K34" s="664">
        <v>22</v>
      </c>
      <c r="L34" s="645" t="s">
        <v>997</v>
      </c>
      <c r="M34" s="645"/>
      <c r="N34" s="652"/>
      <c r="O34" s="645" t="s">
        <v>987</v>
      </c>
      <c r="P34" s="652" t="s">
        <v>988</v>
      </c>
    </row>
    <row r="35" spans="1:21">
      <c r="A35" s="659" t="s">
        <v>1016</v>
      </c>
      <c r="B35" s="660"/>
      <c r="C35" s="660"/>
      <c r="D35" s="661"/>
      <c r="E35" s="660"/>
      <c r="F35" s="660"/>
      <c r="G35" s="660"/>
      <c r="H35" s="660"/>
      <c r="I35" s="660"/>
      <c r="J35" s="660"/>
      <c r="K35" s="660"/>
      <c r="L35" s="660"/>
      <c r="M35" s="660"/>
      <c r="N35" s="660"/>
      <c r="O35" s="660"/>
      <c r="P35" s="660"/>
    </row>
    <row r="36" spans="1:21" ht="75">
      <c r="A36" s="648" t="s">
        <v>1017</v>
      </c>
      <c r="B36" s="666"/>
      <c r="C36" s="666"/>
      <c r="D36" s="662">
        <v>4</v>
      </c>
      <c r="E36" s="1" t="s">
        <v>922</v>
      </c>
      <c r="F36" s="1"/>
      <c r="G36" s="8" t="s">
        <v>1018</v>
      </c>
      <c r="H36" s="1"/>
      <c r="I36" s="1" t="s">
        <v>1019</v>
      </c>
      <c r="J36" s="1" t="s">
        <v>1020</v>
      </c>
      <c r="K36" s="1">
        <v>22</v>
      </c>
      <c r="L36" s="1" t="s">
        <v>1021</v>
      </c>
      <c r="M36" s="1" t="s">
        <v>1022</v>
      </c>
      <c r="N36" s="1"/>
      <c r="O36" s="1" t="s">
        <v>1023</v>
      </c>
      <c r="P36" s="1"/>
    </row>
    <row r="37" spans="1:21">
      <c r="A37" s="667" t="s">
        <v>1024</v>
      </c>
      <c r="B37" s="668"/>
      <c r="C37" s="668"/>
      <c r="D37" s="669"/>
      <c r="E37" s="668"/>
      <c r="F37" s="668"/>
      <c r="G37" s="668"/>
      <c r="H37" s="668"/>
      <c r="I37" s="668"/>
      <c r="J37" s="668"/>
      <c r="K37" s="668"/>
      <c r="L37" s="668"/>
      <c r="M37" s="668"/>
      <c r="N37" s="668"/>
      <c r="O37" s="668"/>
      <c r="P37" s="668"/>
    </row>
    <row r="38" spans="1:21" s="675" customFormat="1" ht="45">
      <c r="A38" s="670" t="s">
        <v>1025</v>
      </c>
      <c r="B38" s="670" t="s">
        <v>1026</v>
      </c>
      <c r="C38" s="670" t="s">
        <v>1027</v>
      </c>
      <c r="D38" s="671">
        <v>1</v>
      </c>
      <c r="E38" s="672" t="s">
        <v>922</v>
      </c>
      <c r="F38" s="673" t="s">
        <v>922</v>
      </c>
      <c r="G38" s="670"/>
      <c r="H38" s="672"/>
      <c r="I38" s="672"/>
      <c r="J38" s="674" t="s">
        <v>1028</v>
      </c>
      <c r="K38" s="672">
        <v>22</v>
      </c>
      <c r="L38" s="674" t="s">
        <v>1029</v>
      </c>
      <c r="M38" s="672" t="s">
        <v>1030</v>
      </c>
      <c r="N38" s="672"/>
      <c r="O38" s="655" t="s">
        <v>987</v>
      </c>
      <c r="P38" s="672" t="s">
        <v>988</v>
      </c>
      <c r="R38" s="676" t="s">
        <v>1031</v>
      </c>
      <c r="S38" s="677">
        <v>0.625</v>
      </c>
      <c r="T38" s="675" t="s">
        <v>1032</v>
      </c>
      <c r="U38" s="675" t="s">
        <v>1033</v>
      </c>
    </row>
    <row r="39" spans="1:21">
      <c r="A39" s="652" t="s">
        <v>1034</v>
      </c>
      <c r="B39" s="650" t="s">
        <v>1035</v>
      </c>
      <c r="C39" s="650" t="s">
        <v>920</v>
      </c>
      <c r="D39" s="678">
        <v>2</v>
      </c>
      <c r="E39" s="653" t="s">
        <v>946</v>
      </c>
      <c r="F39" s="1" t="s">
        <v>922</v>
      </c>
      <c r="G39" s="652" t="s">
        <v>318</v>
      </c>
      <c r="H39" s="1"/>
      <c r="I39" s="1" t="s">
        <v>1036</v>
      </c>
      <c r="J39" s="161" t="s">
        <v>1037</v>
      </c>
      <c r="K39" s="1">
        <v>22</v>
      </c>
      <c r="L39" s="161" t="s">
        <v>1038</v>
      </c>
      <c r="M39" s="1" t="s">
        <v>1039</v>
      </c>
      <c r="N39" s="1"/>
      <c r="O39" s="1" t="s">
        <v>1040</v>
      </c>
      <c r="P39" s="1" t="s">
        <v>1041</v>
      </c>
    </row>
    <row r="40" spans="1:21">
      <c r="A40" s="652" t="s">
        <v>1042</v>
      </c>
      <c r="B40" s="650" t="s">
        <v>1043</v>
      </c>
      <c r="C40" s="650" t="s">
        <v>920</v>
      </c>
      <c r="D40" s="678">
        <v>2</v>
      </c>
      <c r="E40" s="653" t="s">
        <v>946</v>
      </c>
      <c r="F40" s="1" t="s">
        <v>922</v>
      </c>
      <c r="G40" s="652" t="s">
        <v>1044</v>
      </c>
      <c r="H40" s="1"/>
      <c r="I40" s="1" t="s">
        <v>1036</v>
      </c>
      <c r="J40" s="161" t="s">
        <v>1037</v>
      </c>
      <c r="K40" s="1">
        <v>22</v>
      </c>
      <c r="L40" s="161" t="s">
        <v>1038</v>
      </c>
      <c r="M40" s="1" t="s">
        <v>1039</v>
      </c>
      <c r="N40" s="1"/>
      <c r="O40" s="1" t="s">
        <v>1040</v>
      </c>
      <c r="P40" s="1" t="s">
        <v>1041</v>
      </c>
    </row>
    <row r="41" spans="1:21">
      <c r="A41" s="679" t="s">
        <v>1045</v>
      </c>
      <c r="B41" s="632" t="s">
        <v>1046</v>
      </c>
      <c r="C41" s="1"/>
      <c r="D41" s="1"/>
      <c r="E41" s="653" t="s">
        <v>946</v>
      </c>
      <c r="F41" s="1"/>
      <c r="G41" s="1"/>
      <c r="H41" s="1"/>
      <c r="J41" s="1"/>
      <c r="K41" s="1"/>
      <c r="L41" s="680"/>
      <c r="M41" s="680"/>
      <c r="N41" s="1"/>
      <c r="O41" s="1"/>
      <c r="P41" s="1"/>
      <c r="R41" t="s">
        <v>1047</v>
      </c>
    </row>
    <row r="42" spans="1:21">
      <c r="A42" s="667" t="s">
        <v>1048</v>
      </c>
      <c r="B42" s="668"/>
      <c r="C42" s="668"/>
      <c r="D42" s="669"/>
      <c r="E42" s="668"/>
      <c r="F42" s="668"/>
      <c r="G42" s="668"/>
      <c r="H42" s="668"/>
      <c r="I42" s="668"/>
      <c r="J42" s="668"/>
      <c r="K42" s="668"/>
      <c r="L42" s="668"/>
      <c r="M42" s="668"/>
      <c r="N42" s="668"/>
      <c r="O42" s="668"/>
      <c r="P42" s="668"/>
    </row>
    <row r="43" spans="1:21">
      <c r="A43" s="652" t="s">
        <v>1049</v>
      </c>
      <c r="B43" s="650"/>
      <c r="C43" s="650"/>
      <c r="D43" s="678"/>
      <c r="E43" s="653"/>
      <c r="F43" s="1" t="s">
        <v>922</v>
      </c>
      <c r="G43" s="1"/>
      <c r="H43" s="1"/>
      <c r="I43" s="1"/>
      <c r="J43" s="638" t="s">
        <v>1050</v>
      </c>
      <c r="K43" s="1">
        <v>22</v>
      </c>
      <c r="L43" s="161" t="s">
        <v>1051</v>
      </c>
      <c r="M43" s="1" t="s">
        <v>1052</v>
      </c>
      <c r="N43" s="1"/>
      <c r="O43" s="1" t="s">
        <v>1040</v>
      </c>
      <c r="P43" s="1" t="s">
        <v>1041</v>
      </c>
    </row>
    <row r="44" spans="1:21">
      <c r="A44" s="667" t="s">
        <v>1053</v>
      </c>
      <c r="B44" s="668"/>
      <c r="C44" s="668"/>
      <c r="D44" s="669"/>
      <c r="E44" s="668"/>
      <c r="F44" s="668"/>
      <c r="G44" s="668"/>
      <c r="H44" s="668"/>
      <c r="I44" s="668"/>
      <c r="J44" s="668"/>
      <c r="K44" s="668"/>
      <c r="L44" s="668"/>
      <c r="M44" s="668"/>
      <c r="N44" s="668"/>
      <c r="O44" s="668"/>
      <c r="P44" s="668"/>
    </row>
    <row r="45" spans="1:21">
      <c r="A45" s="681" t="s">
        <v>1034</v>
      </c>
      <c r="B45" s="648" t="s">
        <v>1054</v>
      </c>
      <c r="C45" s="648" t="s">
        <v>920</v>
      </c>
      <c r="D45" s="678">
        <v>2</v>
      </c>
      <c r="E45" s="653" t="s">
        <v>946</v>
      </c>
      <c r="F45" s="1" t="s">
        <v>922</v>
      </c>
      <c r="G45" s="161" t="s">
        <v>1055</v>
      </c>
      <c r="H45" s="1"/>
      <c r="I45" s="1" t="s">
        <v>924</v>
      </c>
      <c r="J45" s="161" t="s">
        <v>1056</v>
      </c>
      <c r="K45" s="1">
        <v>2222</v>
      </c>
      <c r="L45" s="638" t="s">
        <v>1057</v>
      </c>
      <c r="M45" t="s">
        <v>1058</v>
      </c>
      <c r="N45" s="1"/>
      <c r="O45" s="1" t="s">
        <v>1040</v>
      </c>
      <c r="P45" s="1"/>
    </row>
    <row r="46" spans="1:21">
      <c r="A46" s="681" t="s">
        <v>1042</v>
      </c>
      <c r="B46" s="648" t="s">
        <v>1059</v>
      </c>
      <c r="C46" s="648" t="s">
        <v>920</v>
      </c>
      <c r="D46" s="678">
        <v>2</v>
      </c>
      <c r="E46" s="653" t="s">
        <v>946</v>
      </c>
      <c r="F46" s="1" t="s">
        <v>922</v>
      </c>
      <c r="G46" s="161" t="s">
        <v>1060</v>
      </c>
      <c r="H46" s="1"/>
      <c r="I46" s="1" t="s">
        <v>924</v>
      </c>
      <c r="J46" s="161" t="s">
        <v>1056</v>
      </c>
      <c r="K46" s="1">
        <v>2222</v>
      </c>
      <c r="L46" s="638" t="s">
        <v>1057</v>
      </c>
      <c r="M46" t="s">
        <v>1058</v>
      </c>
      <c r="N46" s="1"/>
      <c r="O46" s="1" t="s">
        <v>1040</v>
      </c>
      <c r="P46" s="1"/>
    </row>
    <row r="47" spans="1:21">
      <c r="A47" s="667" t="s">
        <v>1061</v>
      </c>
      <c r="B47" s="668"/>
      <c r="C47" s="668"/>
      <c r="D47" s="669"/>
      <c r="E47" s="668"/>
      <c r="F47" s="668"/>
      <c r="G47" s="668"/>
      <c r="H47" s="668"/>
      <c r="I47" s="668"/>
      <c r="J47" s="668"/>
      <c r="K47" s="668"/>
      <c r="L47" s="668"/>
      <c r="M47" s="668"/>
      <c r="N47" s="668"/>
      <c r="O47" s="668"/>
      <c r="P47" s="668"/>
    </row>
    <row r="48" spans="1:21" ht="30">
      <c r="A48" s="1" t="s">
        <v>1062</v>
      </c>
      <c r="B48" s="8" t="s">
        <v>1063</v>
      </c>
      <c r="C48" s="8"/>
      <c r="D48" s="678" t="s">
        <v>981</v>
      </c>
      <c r="E48" s="1" t="s">
        <v>922</v>
      </c>
      <c r="F48" s="1"/>
      <c r="G48" s="1"/>
      <c r="H48" s="1"/>
      <c r="I48" s="1"/>
      <c r="J48" s="1"/>
      <c r="K48" s="1"/>
      <c r="L48" s="1"/>
      <c r="M48" s="1"/>
      <c r="N48" s="1"/>
      <c r="O48" s="1"/>
      <c r="P48" s="1"/>
    </row>
    <row r="49" spans="1:16">
      <c r="A49" s="1" t="s">
        <v>1064</v>
      </c>
      <c r="B49" s="1" t="s">
        <v>1065</v>
      </c>
      <c r="C49" s="1"/>
      <c r="D49" s="678" t="s">
        <v>981</v>
      </c>
      <c r="E49" s="653" t="s">
        <v>946</v>
      </c>
      <c r="F49" s="1"/>
      <c r="G49" s="1"/>
      <c r="H49" s="1"/>
      <c r="I49" s="1"/>
      <c r="J49" s="1"/>
      <c r="K49" s="1"/>
      <c r="L49" s="1"/>
      <c r="M49" s="1"/>
      <c r="N49" s="1"/>
      <c r="O49" s="1"/>
      <c r="P49" s="1"/>
    </row>
    <row r="50" spans="1:16" ht="45">
      <c r="A50" s="637" t="s">
        <v>1066</v>
      </c>
      <c r="B50" s="8" t="s">
        <v>1067</v>
      </c>
      <c r="C50" s="8"/>
      <c r="D50" s="678" t="s">
        <v>981</v>
      </c>
      <c r="E50" s="1" t="s">
        <v>922</v>
      </c>
      <c r="F50" s="1"/>
      <c r="G50" s="1"/>
      <c r="H50" s="1"/>
      <c r="I50" s="1"/>
      <c r="J50" s="1"/>
      <c r="K50" s="1"/>
      <c r="L50" s="1"/>
      <c r="M50" s="1"/>
      <c r="N50" s="1"/>
      <c r="O50" s="1"/>
      <c r="P50" s="1"/>
    </row>
    <row r="51" spans="1:16">
      <c r="A51" s="667" t="s">
        <v>1068</v>
      </c>
      <c r="B51" s="668"/>
      <c r="C51" s="668"/>
      <c r="D51" s="669"/>
      <c r="E51" s="668"/>
      <c r="F51" s="668"/>
      <c r="G51" s="668"/>
      <c r="H51" s="668"/>
      <c r="I51" s="668"/>
      <c r="J51" s="668"/>
      <c r="K51" s="668"/>
      <c r="L51" s="668"/>
      <c r="M51" s="668"/>
      <c r="N51" s="668"/>
      <c r="O51" s="668"/>
      <c r="P51" s="668"/>
    </row>
    <row r="52" spans="1:16" ht="60">
      <c r="A52" s="1" t="s">
        <v>1069</v>
      </c>
      <c r="B52" s="8" t="s">
        <v>1070</v>
      </c>
      <c r="C52" s="8"/>
      <c r="D52" s="678" t="s">
        <v>981</v>
      </c>
      <c r="E52" s="653" t="s">
        <v>946</v>
      </c>
      <c r="F52" s="1"/>
      <c r="G52" s="1"/>
      <c r="H52" s="1"/>
      <c r="I52" s="1"/>
      <c r="J52" s="1"/>
      <c r="K52" s="1"/>
      <c r="L52" s="1"/>
      <c r="M52" s="1"/>
      <c r="N52" s="1"/>
      <c r="O52" s="1"/>
      <c r="P52" s="1"/>
    </row>
    <row r="53" spans="1:16">
      <c r="A53" s="667" t="s">
        <v>1071</v>
      </c>
      <c r="B53" s="668"/>
      <c r="C53" s="668"/>
      <c r="D53" s="669"/>
      <c r="E53" s="668"/>
      <c r="F53" s="668"/>
      <c r="G53" s="668"/>
      <c r="H53" s="668"/>
      <c r="I53" s="668"/>
      <c r="J53" s="668"/>
      <c r="K53" s="668"/>
      <c r="L53" s="668"/>
      <c r="M53" s="668"/>
      <c r="N53" s="668"/>
      <c r="O53" s="668"/>
      <c r="P53" s="668"/>
    </row>
    <row r="54" spans="1:16">
      <c r="A54" s="1" t="s">
        <v>1072</v>
      </c>
      <c r="B54" s="1" t="s">
        <v>1073</v>
      </c>
      <c r="C54" s="1"/>
      <c r="D54" s="678" t="s">
        <v>981</v>
      </c>
      <c r="E54" s="1" t="s">
        <v>922</v>
      </c>
      <c r="F54" s="1"/>
      <c r="G54" s="1"/>
      <c r="H54" s="1"/>
      <c r="I54" s="1"/>
      <c r="J54" s="1"/>
      <c r="K54" s="1"/>
      <c r="L54" s="1"/>
      <c r="M54" s="1"/>
      <c r="N54" s="1"/>
      <c r="O54" s="1"/>
      <c r="P54" s="1"/>
    </row>
    <row r="55" spans="1:16">
      <c r="A55" s="667" t="s">
        <v>1074</v>
      </c>
      <c r="B55" s="668"/>
      <c r="C55" s="668"/>
      <c r="D55" s="669"/>
      <c r="E55" s="668"/>
      <c r="F55" s="668"/>
      <c r="G55" s="668"/>
      <c r="H55" s="668"/>
      <c r="I55" s="668"/>
      <c r="J55" s="668"/>
      <c r="K55" s="668"/>
      <c r="L55" s="668"/>
      <c r="M55" s="668"/>
      <c r="N55" s="668"/>
      <c r="O55" s="668"/>
      <c r="P55" s="668"/>
    </row>
    <row r="56" spans="1:16">
      <c r="A56" s="637" t="s">
        <v>1074</v>
      </c>
      <c r="B56" s="632" t="s">
        <v>1075</v>
      </c>
      <c r="C56" s="632"/>
      <c r="D56" s="678" t="s">
        <v>981</v>
      </c>
      <c r="E56" s="653" t="s">
        <v>946</v>
      </c>
      <c r="F56" s="1"/>
      <c r="G56" s="1"/>
      <c r="H56" s="1"/>
      <c r="I56" s="1"/>
      <c r="J56" s="1"/>
      <c r="K56" s="1"/>
      <c r="L56" s="1"/>
      <c r="M56" s="1"/>
      <c r="N56" s="1"/>
      <c r="O56" s="1"/>
      <c r="P56" s="1"/>
    </row>
    <row r="57" spans="1:16">
      <c r="A57" s="637" t="s">
        <v>1076</v>
      </c>
      <c r="B57" s="632" t="s">
        <v>1077</v>
      </c>
      <c r="C57" s="632"/>
      <c r="D57" s="678" t="s">
        <v>981</v>
      </c>
      <c r="E57" s="653" t="s">
        <v>946</v>
      </c>
      <c r="F57" s="1"/>
      <c r="G57" s="1"/>
      <c r="H57" s="1"/>
      <c r="I57" s="1"/>
      <c r="J57" s="1"/>
      <c r="K57" s="1"/>
      <c r="L57" s="1"/>
      <c r="M57" s="1"/>
      <c r="N57" s="1"/>
      <c r="O57" s="1"/>
      <c r="P57" s="1"/>
    </row>
    <row r="58" spans="1:16">
      <c r="A58" s="637" t="s">
        <v>1078</v>
      </c>
      <c r="B58" s="632" t="s">
        <v>1079</v>
      </c>
      <c r="C58" s="632"/>
      <c r="D58" s="678" t="s">
        <v>981</v>
      </c>
      <c r="E58" s="653" t="s">
        <v>946</v>
      </c>
      <c r="F58" s="1"/>
      <c r="G58" s="1"/>
      <c r="H58" s="1"/>
      <c r="I58" s="1"/>
      <c r="J58" s="1"/>
      <c r="K58" s="1"/>
      <c r="L58" s="1"/>
      <c r="M58" s="1"/>
      <c r="N58" s="1"/>
      <c r="O58" s="1"/>
      <c r="P58" s="1"/>
    </row>
    <row r="59" spans="1:16">
      <c r="A59" s="637" t="s">
        <v>1080</v>
      </c>
      <c r="B59" s="632" t="s">
        <v>1081</v>
      </c>
      <c r="C59" s="632"/>
      <c r="D59" s="678" t="s">
        <v>981</v>
      </c>
      <c r="E59" s="653" t="s">
        <v>946</v>
      </c>
      <c r="F59" s="1"/>
      <c r="G59" s="1"/>
      <c r="H59" s="1"/>
      <c r="I59" s="1"/>
      <c r="J59" s="1"/>
      <c r="K59" s="1"/>
      <c r="L59" s="1"/>
      <c r="M59" s="1"/>
      <c r="N59" s="1"/>
      <c r="O59" s="1"/>
      <c r="P59" s="1"/>
    </row>
    <row r="60" spans="1:16">
      <c r="A60" s="637" t="s">
        <v>1082</v>
      </c>
      <c r="B60" s="632" t="s">
        <v>1083</v>
      </c>
      <c r="C60" s="632"/>
      <c r="D60" s="678" t="s">
        <v>981</v>
      </c>
      <c r="E60" s="653" t="s">
        <v>946</v>
      </c>
      <c r="F60" s="1"/>
      <c r="G60" s="1"/>
      <c r="H60" s="1"/>
      <c r="I60" s="1"/>
      <c r="J60" s="1"/>
      <c r="K60" s="1"/>
      <c r="L60" s="1"/>
      <c r="M60" s="1"/>
      <c r="N60" s="1"/>
      <c r="O60" s="1"/>
      <c r="P60" s="1"/>
    </row>
    <row r="61" spans="1:16">
      <c r="A61" s="637" t="s">
        <v>1084</v>
      </c>
      <c r="B61" s="632" t="s">
        <v>1085</v>
      </c>
      <c r="C61" s="632"/>
      <c r="D61" s="678" t="s">
        <v>981</v>
      </c>
      <c r="E61" s="653" t="s">
        <v>946</v>
      </c>
      <c r="F61" s="1"/>
      <c r="G61" s="1"/>
      <c r="H61" s="1"/>
      <c r="I61" s="1"/>
      <c r="J61" s="1"/>
      <c r="K61" s="1"/>
      <c r="L61" s="1"/>
      <c r="M61" s="1"/>
      <c r="N61" s="1"/>
      <c r="O61" s="1"/>
      <c r="P61" s="1"/>
    </row>
    <row r="62" spans="1:16">
      <c r="A62" s="667" t="s">
        <v>1086</v>
      </c>
      <c r="B62" s="668"/>
      <c r="C62" s="668"/>
      <c r="D62" s="669"/>
      <c r="E62" s="668"/>
      <c r="F62" s="668"/>
      <c r="G62" s="668"/>
      <c r="H62" s="668"/>
      <c r="I62" s="668"/>
      <c r="J62" s="668"/>
      <c r="K62" s="668"/>
      <c r="L62" s="668"/>
      <c r="M62" s="668"/>
      <c r="N62" s="668"/>
      <c r="O62" s="668"/>
      <c r="P62" s="668"/>
    </row>
    <row r="63" spans="1:16">
      <c r="A63" s="632" t="s">
        <v>1087</v>
      </c>
      <c r="B63" s="632" t="s">
        <v>1088</v>
      </c>
      <c r="C63" s="632"/>
      <c r="D63" s="678" t="s">
        <v>981</v>
      </c>
      <c r="E63" s="653" t="s">
        <v>946</v>
      </c>
      <c r="F63" s="1"/>
      <c r="G63" s="1"/>
      <c r="H63" s="1"/>
      <c r="I63" s="1"/>
      <c r="J63" s="1"/>
      <c r="K63" s="1"/>
      <c r="L63" s="1"/>
      <c r="M63" s="1"/>
      <c r="N63" s="1"/>
      <c r="O63" s="1"/>
      <c r="P63" s="1"/>
    </row>
    <row r="64" spans="1:16">
      <c r="A64" s="667" t="s">
        <v>1089</v>
      </c>
      <c r="B64" s="668"/>
      <c r="C64" s="668"/>
      <c r="D64" s="669"/>
      <c r="E64" s="668"/>
      <c r="F64" s="668"/>
      <c r="G64" s="668"/>
      <c r="H64" s="668"/>
      <c r="I64" s="668"/>
      <c r="J64" s="668"/>
      <c r="K64" s="668"/>
      <c r="L64" s="668"/>
      <c r="M64" s="668"/>
      <c r="N64" s="668"/>
      <c r="O64" s="668"/>
      <c r="P64" s="668"/>
    </row>
    <row r="65" spans="1:16" ht="30">
      <c r="A65" s="632" t="s">
        <v>1090</v>
      </c>
      <c r="B65" s="632" t="s">
        <v>1091</v>
      </c>
      <c r="C65" s="632"/>
      <c r="D65" s="678" t="s">
        <v>981</v>
      </c>
      <c r="E65" s="653" t="s">
        <v>946</v>
      </c>
      <c r="F65" s="1"/>
      <c r="G65" s="1"/>
      <c r="H65" s="1"/>
      <c r="I65" s="1"/>
      <c r="J65" s="1"/>
      <c r="K65" s="1"/>
      <c r="L65" s="1"/>
      <c r="M65" s="1"/>
      <c r="N65" s="1"/>
      <c r="O65" s="1"/>
      <c r="P65" s="1"/>
    </row>
    <row r="66" spans="1:16" ht="30">
      <c r="A66" s="632" t="s">
        <v>1092</v>
      </c>
      <c r="B66" s="632" t="s">
        <v>1093</v>
      </c>
      <c r="C66" s="632"/>
      <c r="D66" s="678" t="s">
        <v>981</v>
      </c>
      <c r="E66" s="653" t="s">
        <v>946</v>
      </c>
      <c r="F66" s="1"/>
      <c r="G66" s="1"/>
      <c r="H66" s="1"/>
      <c r="I66" s="1"/>
      <c r="J66" s="1"/>
      <c r="K66" s="1"/>
      <c r="L66" s="1"/>
      <c r="M66" s="1"/>
      <c r="N66" s="1"/>
      <c r="O66" s="1"/>
      <c r="P66" s="1"/>
    </row>
    <row r="67" spans="1:16">
      <c r="A67" s="667" t="s">
        <v>378</v>
      </c>
      <c r="B67" s="668"/>
      <c r="C67" s="668"/>
      <c r="D67" s="669"/>
      <c r="E67" s="668"/>
      <c r="F67" s="668"/>
      <c r="G67" s="668"/>
      <c r="H67" s="668"/>
      <c r="I67" s="668"/>
      <c r="J67" s="668"/>
      <c r="K67" s="668"/>
      <c r="L67" s="668"/>
      <c r="M67" s="668"/>
      <c r="N67" s="668"/>
      <c r="O67" s="668"/>
      <c r="P67" s="668"/>
    </row>
    <row r="68" spans="1:16">
      <c r="A68" s="682" t="s">
        <v>1094</v>
      </c>
      <c r="B68" s="652" t="s">
        <v>1095</v>
      </c>
      <c r="C68" s="1" t="s">
        <v>940</v>
      </c>
      <c r="D68" s="678">
        <v>4</v>
      </c>
      <c r="E68" s="1"/>
      <c r="F68" s="1" t="s">
        <v>922</v>
      </c>
      <c r="G68" s="1" t="s">
        <v>1096</v>
      </c>
      <c r="H68" s="1"/>
      <c r="I68" s="1" t="s">
        <v>1097</v>
      </c>
      <c r="J68" s="1" t="s">
        <v>1098</v>
      </c>
      <c r="K68" s="1">
        <v>4022</v>
      </c>
      <c r="L68" s="1" t="s">
        <v>1099</v>
      </c>
      <c r="M68" s="1" t="s">
        <v>1100</v>
      </c>
      <c r="N68" s="1"/>
      <c r="O68" s="1"/>
      <c r="P68" s="1" t="s">
        <v>988</v>
      </c>
    </row>
    <row r="69" spans="1:16">
      <c r="A69" s="682" t="s">
        <v>23</v>
      </c>
      <c r="B69" s="652" t="s">
        <v>1101</v>
      </c>
      <c r="C69" s="1" t="s">
        <v>940</v>
      </c>
      <c r="D69" s="678">
        <v>4</v>
      </c>
      <c r="E69" s="1"/>
      <c r="F69" s="1" t="s">
        <v>922</v>
      </c>
      <c r="G69" s="1" t="s">
        <v>1102</v>
      </c>
      <c r="H69" s="1"/>
      <c r="I69" s="1" t="s">
        <v>1097</v>
      </c>
      <c r="J69" s="1" t="s">
        <v>1098</v>
      </c>
      <c r="K69" s="1">
        <v>4022</v>
      </c>
      <c r="L69" s="1" t="s">
        <v>1099</v>
      </c>
      <c r="M69" s="1" t="s">
        <v>1100</v>
      </c>
      <c r="N69" s="1"/>
      <c r="O69" s="1"/>
      <c r="P69" s="1" t="s">
        <v>988</v>
      </c>
    </row>
    <row r="70" spans="1:16">
      <c r="A70" s="682" t="s">
        <v>1103</v>
      </c>
      <c r="B70" s="638" t="s">
        <v>1104</v>
      </c>
      <c r="C70" s="1" t="s">
        <v>940</v>
      </c>
      <c r="D70" s="678">
        <v>4</v>
      </c>
      <c r="E70" s="1"/>
      <c r="F70" s="1"/>
      <c r="G70" s="1"/>
      <c r="H70" s="1"/>
      <c r="I70" s="1"/>
      <c r="J70" s="1"/>
      <c r="K70" s="1"/>
      <c r="L70" s="1"/>
      <c r="M70" s="1"/>
      <c r="N70" s="1"/>
      <c r="O70" s="1"/>
      <c r="P70" s="1" t="s">
        <v>988</v>
      </c>
    </row>
    <row r="71" spans="1:16" ht="15.75">
      <c r="A71" s="681" t="s">
        <v>1105</v>
      </c>
      <c r="B71" s="652" t="s">
        <v>1106</v>
      </c>
      <c r="C71" s="1" t="s">
        <v>940</v>
      </c>
      <c r="D71" s="678">
        <v>4</v>
      </c>
      <c r="E71" s="1"/>
      <c r="F71" s="1" t="s">
        <v>922</v>
      </c>
      <c r="G71" s="1" t="s">
        <v>1107</v>
      </c>
      <c r="H71" s="683"/>
      <c r="I71" s="1" t="s">
        <v>922</v>
      </c>
      <c r="J71" s="1" t="s">
        <v>1098</v>
      </c>
      <c r="K71" s="1">
        <v>4022</v>
      </c>
      <c r="L71" s="1" t="s">
        <v>1099</v>
      </c>
      <c r="M71" s="1" t="s">
        <v>1100</v>
      </c>
      <c r="N71" s="1"/>
      <c r="O71" s="1"/>
      <c r="P71" s="1" t="s">
        <v>988</v>
      </c>
    </row>
    <row r="72" spans="1:16" ht="30">
      <c r="A72" s="681" t="s">
        <v>1108</v>
      </c>
      <c r="B72" s="652" t="s">
        <v>1109</v>
      </c>
      <c r="C72" s="1" t="s">
        <v>940</v>
      </c>
      <c r="D72" s="678">
        <v>4</v>
      </c>
      <c r="E72" s="1"/>
      <c r="F72" s="1" t="s">
        <v>922</v>
      </c>
      <c r="G72" s="1" t="s">
        <v>1110</v>
      </c>
      <c r="H72" s="1"/>
      <c r="I72" s="1" t="s">
        <v>1097</v>
      </c>
      <c r="J72" s="1" t="s">
        <v>1098</v>
      </c>
      <c r="K72" s="1">
        <v>4022</v>
      </c>
      <c r="L72" s="1" t="s">
        <v>1099</v>
      </c>
      <c r="M72" s="1" t="s">
        <v>1100</v>
      </c>
      <c r="N72" s="1"/>
      <c r="O72" s="1"/>
      <c r="P72" s="1" t="s">
        <v>988</v>
      </c>
    </row>
    <row r="73" spans="1:16">
      <c r="A73" s="681" t="s">
        <v>1111</v>
      </c>
      <c r="B73" s="652" t="s">
        <v>1112</v>
      </c>
      <c r="C73" s="1" t="s">
        <v>940</v>
      </c>
      <c r="D73" s="678">
        <v>4</v>
      </c>
      <c r="E73" s="1"/>
      <c r="F73" s="1" t="s">
        <v>922</v>
      </c>
      <c r="G73" s="1" t="s">
        <v>1113</v>
      </c>
      <c r="H73" s="1"/>
      <c r="I73" s="1" t="s">
        <v>1097</v>
      </c>
      <c r="J73" s="1" t="s">
        <v>1098</v>
      </c>
      <c r="K73" s="1">
        <v>4022</v>
      </c>
      <c r="L73" s="1" t="s">
        <v>1099</v>
      </c>
      <c r="M73" s="1" t="s">
        <v>1100</v>
      </c>
      <c r="N73" s="1"/>
      <c r="O73" s="1"/>
      <c r="P73" s="1" t="s">
        <v>988</v>
      </c>
    </row>
    <row r="74" spans="1:16">
      <c r="A74" s="667" t="s">
        <v>431</v>
      </c>
      <c r="B74" s="668"/>
      <c r="C74" s="668"/>
      <c r="D74" s="669"/>
      <c r="E74" s="668"/>
      <c r="F74" s="668"/>
      <c r="G74" s="668"/>
      <c r="H74" s="668"/>
      <c r="I74" s="668"/>
      <c r="J74" s="668"/>
      <c r="K74" s="668"/>
      <c r="L74" s="668"/>
      <c r="M74" s="668"/>
      <c r="N74" s="668"/>
      <c r="O74" s="668"/>
      <c r="P74" s="668"/>
    </row>
    <row r="75" spans="1:16">
      <c r="A75" s="651" t="s">
        <v>1114</v>
      </c>
      <c r="B75" s="652" t="s">
        <v>1115</v>
      </c>
      <c r="C75" s="1" t="s">
        <v>940</v>
      </c>
      <c r="D75" s="678">
        <v>4</v>
      </c>
      <c r="E75" s="1"/>
      <c r="F75" s="1" t="s">
        <v>922</v>
      </c>
      <c r="G75" s="1" t="s">
        <v>1116</v>
      </c>
      <c r="H75" s="1"/>
      <c r="I75" s="1" t="s">
        <v>1117</v>
      </c>
      <c r="J75" s="1" t="s">
        <v>1118</v>
      </c>
      <c r="K75" s="1">
        <v>22</v>
      </c>
      <c r="L75" s="1" t="s">
        <v>1119</v>
      </c>
      <c r="M75" t="s">
        <v>1120</v>
      </c>
      <c r="N75" s="1"/>
      <c r="O75" s="1"/>
      <c r="P75" s="1"/>
    </row>
    <row r="76" spans="1:16">
      <c r="A76" s="667" t="s">
        <v>1121</v>
      </c>
      <c r="B76" s="668"/>
      <c r="C76" s="668"/>
      <c r="D76" s="669"/>
      <c r="E76" s="668"/>
      <c r="F76" s="668"/>
      <c r="G76" s="668"/>
      <c r="H76" s="668"/>
      <c r="I76" s="668"/>
      <c r="J76" s="668"/>
      <c r="K76" s="668"/>
      <c r="L76" s="668"/>
      <c r="M76" s="668"/>
      <c r="N76" s="668"/>
      <c r="O76" s="668"/>
      <c r="P76" s="668"/>
    </row>
    <row r="77" spans="1:16">
      <c r="A77" s="632" t="s">
        <v>1122</v>
      </c>
      <c r="B77" s="632" t="s">
        <v>1123</v>
      </c>
      <c r="C77" s="1" t="s">
        <v>940</v>
      </c>
      <c r="D77" s="678">
        <v>3</v>
      </c>
      <c r="E77" s="1"/>
      <c r="F77" s="1" t="s">
        <v>922</v>
      </c>
      <c r="G77" s="1" t="s">
        <v>1124</v>
      </c>
      <c r="H77" s="1"/>
      <c r="I77" s="1" t="s">
        <v>1125</v>
      </c>
      <c r="J77" s="1" t="s">
        <v>1126</v>
      </c>
      <c r="K77" s="1">
        <v>22</v>
      </c>
      <c r="L77" s="1" t="s">
        <v>1127</v>
      </c>
      <c r="M77" s="1"/>
      <c r="N77" s="1"/>
      <c r="O77" s="1"/>
      <c r="P77" s="1"/>
    </row>
    <row r="78" spans="1:16">
      <c r="A78" s="667" t="s">
        <v>67</v>
      </c>
      <c r="B78" s="668"/>
      <c r="C78" s="668"/>
      <c r="D78" s="669"/>
      <c r="E78" s="668"/>
      <c r="F78" s="668"/>
      <c r="G78" s="668"/>
      <c r="H78" s="668"/>
      <c r="I78" s="668"/>
      <c r="J78" s="668"/>
      <c r="K78" s="668"/>
      <c r="L78" s="668"/>
      <c r="M78" s="668"/>
      <c r="N78" s="668"/>
      <c r="O78" s="668"/>
      <c r="P78" s="668"/>
    </row>
    <row r="79" spans="1:16">
      <c r="A79" s="632" t="s">
        <v>1122</v>
      </c>
      <c r="B79" s="632" t="s">
        <v>1123</v>
      </c>
      <c r="C79" s="1" t="s">
        <v>940</v>
      </c>
      <c r="D79" s="678">
        <v>3</v>
      </c>
      <c r="E79" s="1"/>
      <c r="F79" s="1" t="s">
        <v>922</v>
      </c>
      <c r="G79" s="1" t="s">
        <v>1124</v>
      </c>
      <c r="H79" s="1"/>
      <c r="I79" s="1" t="s">
        <v>1125</v>
      </c>
      <c r="J79" s="1" t="s">
        <v>1126</v>
      </c>
      <c r="K79" s="1">
        <v>22</v>
      </c>
      <c r="L79" s="1" t="s">
        <v>1127</v>
      </c>
      <c r="M79" s="1"/>
      <c r="N79" s="1"/>
      <c r="O79" s="1"/>
      <c r="P79" s="1"/>
    </row>
    <row r="80" spans="1:16" ht="45">
      <c r="A80" s="652" t="s">
        <v>1128</v>
      </c>
      <c r="B80" s="652" t="s">
        <v>1129</v>
      </c>
      <c r="C80" s="1" t="s">
        <v>940</v>
      </c>
      <c r="D80" s="678">
        <v>3</v>
      </c>
      <c r="E80" s="1"/>
      <c r="F80" s="1" t="s">
        <v>922</v>
      </c>
      <c r="G80" s="8"/>
      <c r="H80" s="1"/>
      <c r="I80" s="8" t="s">
        <v>1130</v>
      </c>
      <c r="J80" s="47" t="s">
        <v>1131</v>
      </c>
      <c r="K80" s="1">
        <v>22</v>
      </c>
      <c r="L80" s="1" t="s">
        <v>1132</v>
      </c>
      <c r="M80" s="1"/>
      <c r="N80" s="8" t="s">
        <v>1133</v>
      </c>
      <c r="O80" s="1"/>
      <c r="P80" s="1"/>
    </row>
    <row r="81" spans="1:19" ht="30">
      <c r="A81" s="652" t="s">
        <v>1134</v>
      </c>
      <c r="B81" s="652" t="s">
        <v>1135</v>
      </c>
      <c r="C81" t="s">
        <v>940</v>
      </c>
      <c r="D81" s="684" t="s">
        <v>1136</v>
      </c>
      <c r="F81" t="s">
        <v>922</v>
      </c>
      <c r="G81" s="8" t="s">
        <v>1137</v>
      </c>
      <c r="I81" t="s">
        <v>924</v>
      </c>
      <c r="J81" s="47" t="s">
        <v>1138</v>
      </c>
      <c r="K81">
        <v>22</v>
      </c>
      <c r="L81" t="s">
        <v>1132</v>
      </c>
      <c r="N81" s="8" t="s">
        <v>1133</v>
      </c>
    </row>
    <row r="82" spans="1:19" ht="30">
      <c r="A82" s="652" t="s">
        <v>1139</v>
      </c>
      <c r="B82" s="652" t="s">
        <v>1140</v>
      </c>
      <c r="C82" t="s">
        <v>940</v>
      </c>
      <c r="D82" s="684">
        <v>3</v>
      </c>
      <c r="F82" t="s">
        <v>922</v>
      </c>
      <c r="G82" t="s">
        <v>1141</v>
      </c>
      <c r="I82" t="s">
        <v>924</v>
      </c>
      <c r="J82" s="47" t="s">
        <v>1138</v>
      </c>
      <c r="K82">
        <v>22</v>
      </c>
      <c r="L82" t="s">
        <v>1132</v>
      </c>
      <c r="N82" s="8" t="s">
        <v>1133</v>
      </c>
    </row>
    <row r="83" spans="1:19">
      <c r="A83" s="667" t="s">
        <v>1142</v>
      </c>
      <c r="B83" s="668"/>
      <c r="C83" s="668"/>
      <c r="D83" s="669"/>
      <c r="E83" s="668"/>
      <c r="F83" s="668"/>
      <c r="G83" s="668"/>
      <c r="H83" s="668"/>
      <c r="I83" s="668"/>
      <c r="J83" s="668"/>
      <c r="K83" s="668"/>
      <c r="L83" s="668"/>
      <c r="M83" s="668"/>
      <c r="N83" s="668"/>
      <c r="O83" s="668"/>
      <c r="P83" s="668"/>
    </row>
    <row r="84" spans="1:19" ht="45">
      <c r="A84" s="652" t="s">
        <v>1143</v>
      </c>
      <c r="B84" s="652" t="s">
        <v>1144</v>
      </c>
      <c r="C84" t="s">
        <v>940</v>
      </c>
      <c r="D84" s="684">
        <v>3</v>
      </c>
      <c r="F84" t="s">
        <v>922</v>
      </c>
      <c r="G84" s="8" t="s">
        <v>1145</v>
      </c>
      <c r="I84" t="s">
        <v>1146</v>
      </c>
      <c r="J84" t="s">
        <v>1147</v>
      </c>
      <c r="K84">
        <v>22</v>
      </c>
      <c r="L84" s="638" t="s">
        <v>1148</v>
      </c>
      <c r="M84" s="638" t="s">
        <v>1149</v>
      </c>
    </row>
    <row r="85" spans="1:19">
      <c r="A85" s="667" t="s">
        <v>1150</v>
      </c>
      <c r="B85" s="668"/>
      <c r="C85" s="668"/>
      <c r="D85" s="669"/>
      <c r="E85" s="668"/>
      <c r="F85" s="668"/>
      <c r="G85" s="668"/>
      <c r="H85" s="668"/>
      <c r="I85" s="668"/>
      <c r="J85" s="668"/>
      <c r="K85" s="668"/>
      <c r="L85" s="668"/>
      <c r="M85" s="668"/>
      <c r="N85" s="668"/>
      <c r="O85" s="668"/>
      <c r="P85" s="668"/>
    </row>
    <row r="86" spans="1:19">
      <c r="A86" s="652" t="s">
        <v>1151</v>
      </c>
      <c r="B86" s="685" t="s">
        <v>1152</v>
      </c>
      <c r="C86" t="s">
        <v>940</v>
      </c>
      <c r="D86" s="684">
        <v>4</v>
      </c>
      <c r="F86" t="s">
        <v>922</v>
      </c>
      <c r="G86" t="s">
        <v>1153</v>
      </c>
      <c r="I86" t="s">
        <v>1154</v>
      </c>
      <c r="J86" s="47" t="s">
        <v>1155</v>
      </c>
      <c r="K86" s="47">
        <v>22</v>
      </c>
      <c r="L86" s="47" t="s">
        <v>1156</v>
      </c>
      <c r="M86" t="s">
        <v>1157</v>
      </c>
    </row>
    <row r="87" spans="1:19">
      <c r="A87" s="667" t="s">
        <v>408</v>
      </c>
      <c r="B87" s="668"/>
      <c r="C87" s="668"/>
      <c r="D87" s="669"/>
      <c r="E87" s="668"/>
      <c r="F87" s="668"/>
      <c r="G87" s="668"/>
      <c r="H87" s="668"/>
      <c r="I87" s="668"/>
      <c r="J87" s="668"/>
      <c r="K87" s="668"/>
      <c r="L87" s="668"/>
      <c r="M87" s="668"/>
      <c r="N87" s="668"/>
      <c r="O87" s="668"/>
      <c r="P87" s="668"/>
    </row>
    <row r="88" spans="1:19" ht="60">
      <c r="A88" t="s">
        <v>409</v>
      </c>
      <c r="D88" s="684">
        <v>4</v>
      </c>
      <c r="F88" t="s">
        <v>922</v>
      </c>
      <c r="G88" s="47" t="s">
        <v>1158</v>
      </c>
      <c r="I88" t="s">
        <v>1159</v>
      </c>
      <c r="J88" t="s">
        <v>1160</v>
      </c>
      <c r="K88">
        <v>22</v>
      </c>
      <c r="L88" t="s">
        <v>1161</v>
      </c>
      <c r="M88" t="s">
        <v>1162</v>
      </c>
      <c r="O88" t="s">
        <v>1163</v>
      </c>
      <c r="Q88" s="686" t="s">
        <v>10</v>
      </c>
    </row>
    <row r="89" spans="1:19" ht="60">
      <c r="A89" t="s">
        <v>413</v>
      </c>
      <c r="D89" s="684">
        <v>4</v>
      </c>
      <c r="F89" t="s">
        <v>922</v>
      </c>
      <c r="G89" s="47" t="s">
        <v>414</v>
      </c>
      <c r="I89" t="s">
        <v>1164</v>
      </c>
      <c r="J89" t="s">
        <v>1165</v>
      </c>
      <c r="K89">
        <v>22</v>
      </c>
      <c r="L89" t="s">
        <v>1166</v>
      </c>
      <c r="M89" t="s">
        <v>1167</v>
      </c>
      <c r="O89" s="803" t="s">
        <v>1168</v>
      </c>
      <c r="Q89" s="176" t="s">
        <v>1169</v>
      </c>
      <c r="S89" s="47" t="s">
        <v>1170</v>
      </c>
    </row>
    <row r="90" spans="1:19" ht="30">
      <c r="A90" t="s">
        <v>423</v>
      </c>
      <c r="D90" s="684">
        <v>4</v>
      </c>
      <c r="F90" t="s">
        <v>922</v>
      </c>
      <c r="G90" s="47" t="s">
        <v>424</v>
      </c>
      <c r="I90" t="s">
        <v>1171</v>
      </c>
      <c r="J90" t="s">
        <v>1172</v>
      </c>
      <c r="K90">
        <v>22</v>
      </c>
      <c r="L90" t="s">
        <v>1173</v>
      </c>
      <c r="M90" t="s">
        <v>1174</v>
      </c>
      <c r="O90" t="s">
        <v>1175</v>
      </c>
      <c r="Q90" s="176" t="s">
        <v>1176</v>
      </c>
    </row>
    <row r="91" spans="1:19">
      <c r="A91" t="s">
        <v>427</v>
      </c>
      <c r="F91" t="s">
        <v>922</v>
      </c>
      <c r="G91" s="47" t="s">
        <v>428</v>
      </c>
      <c r="I91" t="s">
        <v>1177</v>
      </c>
      <c r="J91" s="47" t="s">
        <v>1178</v>
      </c>
      <c r="K91">
        <v>22</v>
      </c>
      <c r="L91" t="s">
        <v>1179</v>
      </c>
      <c r="N91" t="s">
        <v>1180</v>
      </c>
      <c r="O91" t="s">
        <v>1181</v>
      </c>
      <c r="Q91" s="176" t="s">
        <v>1182</v>
      </c>
    </row>
    <row r="92" spans="1:19">
      <c r="A92" t="s">
        <v>431</v>
      </c>
      <c r="D92" s="684">
        <v>4</v>
      </c>
      <c r="F92" t="s">
        <v>922</v>
      </c>
      <c r="G92" s="47" t="s">
        <v>432</v>
      </c>
      <c r="I92" t="s">
        <v>1183</v>
      </c>
      <c r="J92" t="s">
        <v>1118</v>
      </c>
      <c r="K92">
        <v>22</v>
      </c>
      <c r="L92" t="s">
        <v>1184</v>
      </c>
      <c r="M92" s="1" t="s">
        <v>1185</v>
      </c>
      <c r="N92" s="687" t="s">
        <v>1186</v>
      </c>
      <c r="O92" t="s">
        <v>1187</v>
      </c>
      <c r="Q92" s="176" t="s">
        <v>1188</v>
      </c>
    </row>
    <row r="93" spans="1:19" s="721" customFormat="1">
      <c r="A93" s="721" t="s">
        <v>435</v>
      </c>
      <c r="D93" s="1152">
        <v>4</v>
      </c>
      <c r="F93" s="721" t="s">
        <v>922</v>
      </c>
      <c r="G93" s="1153" t="s">
        <v>436</v>
      </c>
      <c r="I93" s="721" t="s">
        <v>1189</v>
      </c>
      <c r="J93" s="721" t="s">
        <v>1190</v>
      </c>
      <c r="K93" s="721">
        <v>22</v>
      </c>
      <c r="L93" s="721" t="s">
        <v>1191</v>
      </c>
      <c r="M93" s="721" t="s">
        <v>1192</v>
      </c>
      <c r="N93" s="687" t="s">
        <v>1193</v>
      </c>
      <c r="O93" s="721" t="s">
        <v>1194</v>
      </c>
      <c r="Q93" s="686" t="s">
        <v>1195</v>
      </c>
    </row>
    <row r="94" spans="1:19">
      <c r="A94" t="s">
        <v>439</v>
      </c>
      <c r="D94" s="684">
        <v>4</v>
      </c>
      <c r="F94" t="s">
        <v>1196</v>
      </c>
      <c r="G94" s="47" t="s">
        <v>440</v>
      </c>
      <c r="I94" t="s">
        <v>1197</v>
      </c>
      <c r="J94" t="s">
        <v>1198</v>
      </c>
      <c r="K94">
        <v>21</v>
      </c>
      <c r="L94" t="s">
        <v>1199</v>
      </c>
      <c r="M94" t="s">
        <v>1200</v>
      </c>
      <c r="N94" t="s">
        <v>1180</v>
      </c>
      <c r="O94" t="s">
        <v>1163</v>
      </c>
      <c r="Q94" s="176" t="s">
        <v>1201</v>
      </c>
    </row>
    <row r="95" spans="1:19" ht="45">
      <c r="A95" t="s">
        <v>443</v>
      </c>
      <c r="D95" s="684">
        <v>4</v>
      </c>
      <c r="F95" t="s">
        <v>922</v>
      </c>
      <c r="G95" s="47" t="s">
        <v>1202</v>
      </c>
      <c r="I95" t="s">
        <v>924</v>
      </c>
      <c r="J95" t="s">
        <v>1203</v>
      </c>
      <c r="K95">
        <v>22</v>
      </c>
      <c r="L95" t="s">
        <v>1204</v>
      </c>
      <c r="N95" t="s">
        <v>1205</v>
      </c>
      <c r="O95" t="s">
        <v>1206</v>
      </c>
      <c r="Q95" s="176" t="s">
        <v>1207</v>
      </c>
    </row>
    <row r="96" spans="1:19" ht="30">
      <c r="A96" t="s">
        <v>378</v>
      </c>
      <c r="D96" s="684">
        <v>4</v>
      </c>
      <c r="F96" t="s">
        <v>922</v>
      </c>
      <c r="G96" s="47" t="s">
        <v>447</v>
      </c>
      <c r="I96" t="s">
        <v>1097</v>
      </c>
      <c r="J96" s="1" t="s">
        <v>1098</v>
      </c>
      <c r="K96" s="1">
        <v>4022</v>
      </c>
      <c r="L96" s="1" t="s">
        <v>1099</v>
      </c>
      <c r="M96" s="1" t="s">
        <v>1100</v>
      </c>
      <c r="Q96" s="686" t="s">
        <v>14</v>
      </c>
    </row>
    <row r="97" spans="1:17">
      <c r="A97" t="s">
        <v>450</v>
      </c>
      <c r="F97" t="s">
        <v>922</v>
      </c>
      <c r="G97" t="s">
        <v>451</v>
      </c>
      <c r="I97" t="s">
        <v>1208</v>
      </c>
      <c r="J97" t="s">
        <v>1209</v>
      </c>
      <c r="K97">
        <v>22</v>
      </c>
      <c r="L97" t="s">
        <v>1210</v>
      </c>
      <c r="N97" t="s">
        <v>1180</v>
      </c>
      <c r="O97" t="s">
        <v>1206</v>
      </c>
      <c r="Q97" s="176" t="s">
        <v>1211</v>
      </c>
    </row>
    <row r="99" spans="1:17">
      <c r="A99" s="688" t="s">
        <v>1212</v>
      </c>
    </row>
  </sheetData>
  <hyperlinks>
    <hyperlink ref="B70" r:id="rId1" display="../../../../../../../:t:/s/PSGHub/EQrOpvclZulBlTmyGVUNnKUBaqhWjM07t2-O4VwVdH8Ydg?e=PMdqdW" xr:uid="{276FCEC1-B31C-48A5-BFE3-D6FF0085D409}"/>
    <hyperlink ref="J43" r:id="rId2" xr:uid="{0D793A2F-E9CB-4738-8AD7-9AB4ACB1859D}"/>
    <hyperlink ref="L45" r:id="rId3" xr:uid="{9F5BA176-4575-46E9-B24D-C18B83198656}"/>
    <hyperlink ref="L84" r:id="rId4" xr:uid="{3625D399-6BE1-48EB-B6A8-B797E7CC0EB7}"/>
    <hyperlink ref="L16" r:id="rId5" xr:uid="{53681601-D1BD-434F-B81F-115104A95720}"/>
    <hyperlink ref="L17" r:id="rId6" xr:uid="{6B394842-EBDF-4514-8F34-C6849DBDD509}"/>
    <hyperlink ref="L19" r:id="rId7" xr:uid="{59E00A13-F282-41C9-B170-3E93BD3EE57F}"/>
    <hyperlink ref="L46" r:id="rId8" xr:uid="{218BCB95-89DD-43A4-A311-1B8DDC1AFF30}"/>
    <hyperlink ref="M84" r:id="rId9" xr:uid="{CCD25EA8-A418-47C9-822A-6D51E75440C8}"/>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workbookViewId="0">
      <pane ySplit="1" topLeftCell="A12" activePane="bottomLeft" state="frozen"/>
      <selection pane="bottomLeft" activeCell="A22" sqref="A22"/>
    </sheetView>
  </sheetViews>
  <sheetFormatPr defaultRowHeight="15"/>
  <cols>
    <col min="1" max="1" width="17.140625" customWidth="1"/>
    <col min="2" max="2" width="25.7109375" customWidth="1"/>
    <col min="3" max="3" width="32" customWidth="1"/>
    <col min="4" max="4" width="37.5703125" customWidth="1"/>
    <col min="5" max="5" width="85" customWidth="1"/>
  </cols>
  <sheetData>
    <row r="1" spans="1:5">
      <c r="A1" s="34" t="s">
        <v>1213</v>
      </c>
      <c r="B1" s="34" t="s">
        <v>1214</v>
      </c>
      <c r="C1" s="34" t="s">
        <v>1215</v>
      </c>
      <c r="D1" s="34" t="s">
        <v>1216</v>
      </c>
      <c r="E1" s="35" t="s">
        <v>1217</v>
      </c>
    </row>
    <row r="2" spans="1:5">
      <c r="A2" s="31"/>
      <c r="B2" s="8"/>
      <c r="C2" s="8"/>
      <c r="D2" s="8"/>
      <c r="E2" s="1"/>
    </row>
    <row r="3" spans="1:5">
      <c r="A3" s="31"/>
      <c r="B3" s="8"/>
      <c r="C3" s="8"/>
      <c r="D3" s="8"/>
      <c r="E3" s="1"/>
    </row>
    <row r="4" spans="1:5">
      <c r="A4" s="31"/>
      <c r="B4" s="8"/>
      <c r="C4" s="8"/>
      <c r="D4" s="8"/>
      <c r="E4" s="1"/>
    </row>
    <row r="5" spans="1:5">
      <c r="A5" s="31"/>
      <c r="B5" s="8"/>
      <c r="C5" s="8"/>
      <c r="D5" s="8"/>
      <c r="E5" s="1"/>
    </row>
    <row r="6" spans="1:5">
      <c r="A6" s="31"/>
      <c r="B6" s="25"/>
      <c r="C6" s="25"/>
      <c r="D6" s="25"/>
      <c r="E6" s="26"/>
    </row>
    <row r="7" spans="1:5">
      <c r="A7" s="32"/>
      <c r="B7" s="8"/>
      <c r="C7" s="8"/>
      <c r="D7" s="8"/>
      <c r="E7" s="1"/>
    </row>
    <row r="8" spans="1:5">
      <c r="A8" s="32"/>
      <c r="B8" s="1"/>
      <c r="C8" s="1"/>
      <c r="D8" s="8"/>
      <c r="E8" s="1"/>
    </row>
    <row r="9" spans="1:5">
      <c r="A9" s="41"/>
      <c r="B9" s="42"/>
      <c r="C9" s="42"/>
      <c r="D9" s="42"/>
      <c r="E9" s="43"/>
    </row>
    <row r="10" spans="1:5">
      <c r="A10" s="32"/>
      <c r="B10" s="1"/>
      <c r="C10" s="1"/>
      <c r="D10" s="1"/>
      <c r="E10" s="8"/>
    </row>
    <row r="11" spans="1:5">
      <c r="A11" s="32"/>
      <c r="B11" s="1"/>
      <c r="C11" s="1"/>
      <c r="D11" s="1"/>
      <c r="E11" s="1"/>
    </row>
    <row r="12" spans="1:5">
      <c r="A12" s="32"/>
      <c r="B12" s="1"/>
      <c r="C12" s="44"/>
      <c r="D12" s="44"/>
      <c r="E12" s="1"/>
    </row>
    <row r="13" spans="1:5">
      <c r="A13" s="32"/>
      <c r="B13" s="1"/>
      <c r="C13" s="1"/>
      <c r="D13" s="1"/>
      <c r="E13" s="1"/>
    </row>
    <row r="14" spans="1:5" ht="78" customHeight="1">
      <c r="A14" s="41"/>
      <c r="B14" s="42"/>
      <c r="C14" s="43"/>
      <c r="D14" s="42"/>
      <c r="E14" s="43"/>
    </row>
    <row r="15" spans="1:5">
      <c r="A15" s="48"/>
      <c r="B15" s="48"/>
      <c r="C15" s="48"/>
      <c r="D15" s="48"/>
      <c r="E15" s="4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EB7E2C-3844-4426-B0E3-DF20476098A9}">
  <dimension ref="A1:B4"/>
  <sheetViews>
    <sheetView workbookViewId="0">
      <selection activeCell="B16" sqref="B16"/>
    </sheetView>
  </sheetViews>
  <sheetFormatPr defaultRowHeight="15"/>
  <cols>
    <col min="2" max="2" width="89" customWidth="1"/>
  </cols>
  <sheetData>
    <row r="1" spans="1:2">
      <c r="A1" s="50" t="s">
        <v>1218</v>
      </c>
      <c r="B1" s="50"/>
    </row>
    <row r="2" spans="1:2">
      <c r="A2" s="51" t="s">
        <v>1219</v>
      </c>
      <c r="B2" s="51" t="s">
        <v>1220</v>
      </c>
    </row>
    <row r="3" spans="1:2">
      <c r="A3" s="48">
        <v>1</v>
      </c>
      <c r="B3" s="48" t="s">
        <v>1221</v>
      </c>
    </row>
    <row r="4" spans="1:2" ht="30">
      <c r="A4" s="48">
        <v>2</v>
      </c>
      <c r="B4" s="140" t="s">
        <v>1222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8D1A9A-D0CB-429C-988B-54AC9771AF74}">
  <dimension ref="A1:G61"/>
  <sheetViews>
    <sheetView topLeftCell="A2" workbookViewId="0">
      <selection activeCell="B16" sqref="B16"/>
    </sheetView>
  </sheetViews>
  <sheetFormatPr defaultRowHeight="15"/>
  <cols>
    <col min="1" max="1" width="30.85546875" customWidth="1"/>
    <col min="2" max="2" width="12.5703125" customWidth="1"/>
    <col min="3" max="3" width="11.85546875" customWidth="1"/>
    <col min="4" max="4" width="13.42578125" customWidth="1"/>
    <col min="5" max="5" width="10.5703125" bestFit="1" customWidth="1"/>
    <col min="6" max="6" width="18.28515625" bestFit="1" customWidth="1"/>
    <col min="7" max="7" width="141.7109375" bestFit="1" customWidth="1"/>
  </cols>
  <sheetData>
    <row r="1" spans="1:7">
      <c r="A1" s="133" t="s">
        <v>228</v>
      </c>
    </row>
    <row r="2" spans="1:7">
      <c r="A2" s="133" t="s">
        <v>1223</v>
      </c>
    </row>
    <row r="3" spans="1:7">
      <c r="A3" s="133" t="s">
        <v>228</v>
      </c>
    </row>
    <row r="4" spans="1:7">
      <c r="A4" s="150" t="s">
        <v>1224</v>
      </c>
      <c r="B4" s="150" t="s">
        <v>1225</v>
      </c>
      <c r="C4" s="150" t="s">
        <v>1226</v>
      </c>
      <c r="D4" s="150" t="s">
        <v>1227</v>
      </c>
      <c r="E4" s="150" t="s">
        <v>93</v>
      </c>
      <c r="F4" s="150" t="s">
        <v>1228</v>
      </c>
      <c r="G4" s="150" t="s">
        <v>1229</v>
      </c>
    </row>
    <row r="5" spans="1:7">
      <c r="A5" s="1179" t="s">
        <v>1230</v>
      </c>
      <c r="B5" s="1180"/>
      <c r="C5" s="1180"/>
      <c r="D5" s="1180"/>
      <c r="E5" s="1180"/>
      <c r="F5" s="1180"/>
      <c r="G5" s="1180"/>
    </row>
    <row r="6" spans="1:7">
      <c r="A6" s="134" t="s">
        <v>1231</v>
      </c>
      <c r="B6" s="135" t="s">
        <v>1232</v>
      </c>
      <c r="C6" s="48" t="s">
        <v>1233</v>
      </c>
      <c r="D6" s="48" t="s">
        <v>1234</v>
      </c>
      <c r="E6" s="48" t="s">
        <v>1235</v>
      </c>
      <c r="F6" s="48" t="s">
        <v>1041</v>
      </c>
      <c r="G6" s="48" t="s">
        <v>1236</v>
      </c>
    </row>
    <row r="7" spans="1:7">
      <c r="A7" s="134" t="s">
        <v>1237</v>
      </c>
      <c r="B7" s="135" t="s">
        <v>1232</v>
      </c>
      <c r="C7" s="48" t="s">
        <v>1233</v>
      </c>
      <c r="D7" s="48" t="s">
        <v>1234</v>
      </c>
      <c r="E7" s="48" t="s">
        <v>1235</v>
      </c>
      <c r="F7" s="48" t="s">
        <v>1041</v>
      </c>
      <c r="G7" s="48" t="s">
        <v>1236</v>
      </c>
    </row>
    <row r="8" spans="1:7">
      <c r="A8" s="134" t="s">
        <v>1238</v>
      </c>
      <c r="B8" s="135" t="s">
        <v>1232</v>
      </c>
      <c r="C8" s="48" t="s">
        <v>1233</v>
      </c>
      <c r="D8" s="48" t="s">
        <v>1239</v>
      </c>
      <c r="E8" s="48" t="s">
        <v>1240</v>
      </c>
      <c r="F8" s="48" t="s">
        <v>14</v>
      </c>
      <c r="G8" s="48" t="s">
        <v>1241</v>
      </c>
    </row>
    <row r="9" spans="1:7">
      <c r="A9" s="136" t="s">
        <v>1242</v>
      </c>
      <c r="B9" s="135" t="s">
        <v>1232</v>
      </c>
      <c r="C9" s="48" t="s">
        <v>1233</v>
      </c>
      <c r="D9" s="48" t="s">
        <v>1239</v>
      </c>
      <c r="E9" s="48" t="s">
        <v>1240</v>
      </c>
      <c r="F9" s="48" t="s">
        <v>14</v>
      </c>
      <c r="G9" s="48" t="s">
        <v>1243</v>
      </c>
    </row>
    <row r="10" spans="1:7">
      <c r="A10" s="136" t="s">
        <v>1244</v>
      </c>
      <c r="B10" s="135" t="s">
        <v>1232</v>
      </c>
      <c r="C10" s="48" t="s">
        <v>1233</v>
      </c>
      <c r="D10" s="48" t="s">
        <v>1239</v>
      </c>
      <c r="E10" s="48" t="s">
        <v>1240</v>
      </c>
      <c r="F10" s="48" t="s">
        <v>14</v>
      </c>
      <c r="G10" s="48" t="s">
        <v>1243</v>
      </c>
    </row>
    <row r="11" spans="1:7">
      <c r="A11" s="174" t="s">
        <v>1245</v>
      </c>
      <c r="B11" s="1181" t="s">
        <v>1041</v>
      </c>
      <c r="C11" s="1182"/>
      <c r="D11" s="1182"/>
      <c r="E11" s="1182"/>
      <c r="F11" s="1182"/>
      <c r="G11" s="1183"/>
    </row>
    <row r="12" spans="1:7">
      <c r="A12" s="174" t="s">
        <v>1246</v>
      </c>
      <c r="B12" s="1181" t="s">
        <v>1041</v>
      </c>
      <c r="C12" s="1182"/>
      <c r="D12" s="1182"/>
      <c r="E12" s="1182"/>
      <c r="F12" s="1182"/>
      <c r="G12" s="1183"/>
    </row>
    <row r="13" spans="1:7">
      <c r="A13" s="134" t="s">
        <v>1247</v>
      </c>
      <c r="B13" s="135" t="s">
        <v>1232</v>
      </c>
      <c r="C13" s="48" t="s">
        <v>1233</v>
      </c>
      <c r="D13" s="48" t="s">
        <v>1239</v>
      </c>
      <c r="E13" s="48" t="s">
        <v>1240</v>
      </c>
      <c r="F13" s="48" t="s">
        <v>14</v>
      </c>
      <c r="G13" s="48" t="s">
        <v>1248</v>
      </c>
    </row>
    <row r="14" spans="1:7">
      <c r="A14" s="137" t="s">
        <v>1249</v>
      </c>
      <c r="B14" s="155" t="s">
        <v>1250</v>
      </c>
      <c r="C14" s="138"/>
      <c r="D14" s="138"/>
      <c r="E14" s="138"/>
      <c r="F14" s="138"/>
      <c r="G14" s="139"/>
    </row>
    <row r="15" spans="1:7">
      <c r="A15" s="137" t="s">
        <v>1251</v>
      </c>
      <c r="B15" s="155" t="s">
        <v>1250</v>
      </c>
      <c r="C15" s="138"/>
      <c r="D15" s="138"/>
      <c r="E15" s="138"/>
      <c r="F15" s="138"/>
      <c r="G15" s="139"/>
    </row>
    <row r="16" spans="1:7">
      <c r="A16" s="137" t="s">
        <v>1252</v>
      </c>
      <c r="B16" s="155" t="s">
        <v>1250</v>
      </c>
      <c r="C16" s="138"/>
      <c r="D16" s="138"/>
      <c r="E16" s="138"/>
      <c r="F16" s="138"/>
      <c r="G16" s="139"/>
    </row>
    <row r="17" spans="1:7">
      <c r="A17" s="48" t="s">
        <v>1253</v>
      </c>
    </row>
    <row r="18" spans="1:7">
      <c r="A18" s="157" t="s">
        <v>1254</v>
      </c>
      <c r="B18" s="156"/>
      <c r="C18" s="156"/>
      <c r="D18" s="156"/>
      <c r="E18" s="156"/>
      <c r="F18" s="156"/>
      <c r="G18" s="156"/>
    </row>
    <row r="19" spans="1:7" ht="90">
      <c r="A19" s="158" t="s">
        <v>1255</v>
      </c>
      <c r="B19" s="140" t="s">
        <v>1256</v>
      </c>
      <c r="C19" s="48" t="s">
        <v>1233</v>
      </c>
      <c r="D19" s="48" t="s">
        <v>1234</v>
      </c>
      <c r="E19" s="48" t="s">
        <v>1032</v>
      </c>
      <c r="F19" s="48" t="s">
        <v>10</v>
      </c>
      <c r="G19" s="141" t="s">
        <v>1257</v>
      </c>
    </row>
    <row r="20" spans="1:7">
      <c r="A20" s="142" t="s">
        <v>1258</v>
      </c>
      <c r="B20" s="48" t="s">
        <v>1232</v>
      </c>
      <c r="C20" s="48" t="s">
        <v>1233</v>
      </c>
      <c r="D20" s="48" t="s">
        <v>1234</v>
      </c>
      <c r="E20" s="48" t="s">
        <v>1032</v>
      </c>
      <c r="F20" s="48" t="s">
        <v>10</v>
      </c>
      <c r="G20" s="48" t="s">
        <v>1259</v>
      </c>
    </row>
    <row r="21" spans="1:7">
      <c r="A21" s="48" t="s">
        <v>1260</v>
      </c>
      <c r="B21" s="48" t="s">
        <v>1232</v>
      </c>
      <c r="C21" s="48" t="s">
        <v>1233</v>
      </c>
      <c r="D21" s="48" t="s">
        <v>1234</v>
      </c>
      <c r="E21" s="48" t="s">
        <v>1235</v>
      </c>
      <c r="F21" s="48" t="s">
        <v>10</v>
      </c>
      <c r="G21" s="48" t="s">
        <v>1261</v>
      </c>
    </row>
    <row r="22" spans="1:7">
      <c r="A22" s="48" t="s">
        <v>1262</v>
      </c>
      <c r="B22" s="48" t="s">
        <v>1232</v>
      </c>
      <c r="C22" s="48" t="s">
        <v>1233</v>
      </c>
      <c r="D22" s="48" t="s">
        <v>1234</v>
      </c>
      <c r="E22" s="48" t="s">
        <v>1235</v>
      </c>
      <c r="F22" s="48" t="s">
        <v>10</v>
      </c>
      <c r="G22" s="48" t="s">
        <v>1263</v>
      </c>
    </row>
    <row r="23" spans="1:7">
      <c r="A23" s="142" t="s">
        <v>1264</v>
      </c>
      <c r="B23" s="48" t="s">
        <v>1232</v>
      </c>
      <c r="C23" s="48" t="s">
        <v>1233</v>
      </c>
      <c r="D23" s="48" t="s">
        <v>1239</v>
      </c>
      <c r="E23" s="48" t="s">
        <v>1240</v>
      </c>
      <c r="F23" s="48" t="s">
        <v>14</v>
      </c>
      <c r="G23" s="48" t="s">
        <v>1265</v>
      </c>
    </row>
    <row r="24" spans="1:7">
      <c r="A24" s="143"/>
    </row>
    <row r="25" spans="1:7">
      <c r="A25" s="175" t="s">
        <v>1266</v>
      </c>
    </row>
    <row r="26" spans="1:7">
      <c r="A26" s="176" t="s">
        <v>1267</v>
      </c>
    </row>
    <row r="27" spans="1:7">
      <c r="A27" s="133" t="s">
        <v>1268</v>
      </c>
    </row>
    <row r="28" spans="1:7">
      <c r="A28" s="133" t="s">
        <v>1269</v>
      </c>
    </row>
    <row r="29" spans="1:7">
      <c r="A29" s="133" t="s">
        <v>1270</v>
      </c>
    </row>
    <row r="30" spans="1:7">
      <c r="A30" s="133" t="s">
        <v>1271</v>
      </c>
    </row>
    <row r="31" spans="1:7">
      <c r="A31" s="133" t="s">
        <v>1272</v>
      </c>
    </row>
    <row r="34" spans="1:1">
      <c r="A34" s="144" t="s">
        <v>1273</v>
      </c>
    </row>
    <row r="35" spans="1:1">
      <c r="A35" s="145" t="s">
        <v>1274</v>
      </c>
    </row>
    <row r="36" spans="1:1">
      <c r="A36" s="146" t="s">
        <v>1275</v>
      </c>
    </row>
    <row r="37" spans="1:1">
      <c r="A37" s="147" t="s">
        <v>1276</v>
      </c>
    </row>
    <row r="38" spans="1:1">
      <c r="A38" s="146" t="s">
        <v>1277</v>
      </c>
    </row>
    <row r="39" spans="1:1">
      <c r="A39" s="147" t="s">
        <v>1278</v>
      </c>
    </row>
    <row r="40" spans="1:1">
      <c r="A40" s="147" t="s">
        <v>1279</v>
      </c>
    </row>
    <row r="41" spans="1:1">
      <c r="A41" s="146" t="s">
        <v>1280</v>
      </c>
    </row>
    <row r="42" spans="1:1">
      <c r="A42" s="146" t="s">
        <v>1281</v>
      </c>
    </row>
    <row r="43" spans="1:1">
      <c r="A43" s="146" t="s">
        <v>1282</v>
      </c>
    </row>
    <row r="44" spans="1:1">
      <c r="A44" s="145" t="s">
        <v>1283</v>
      </c>
    </row>
    <row r="45" spans="1:1">
      <c r="A45" s="145" t="s">
        <v>1284</v>
      </c>
    </row>
    <row r="46" spans="1:1">
      <c r="A46" s="146" t="s">
        <v>1285</v>
      </c>
    </row>
    <row r="47" spans="1:1">
      <c r="A47" s="145" t="s">
        <v>1286</v>
      </c>
    </row>
    <row r="48" spans="1:1">
      <c r="A48" s="146" t="s">
        <v>1287</v>
      </c>
    </row>
    <row r="49" spans="1:1">
      <c r="A49" s="145" t="s">
        <v>1288</v>
      </c>
    </row>
    <row r="50" spans="1:1">
      <c r="A50" s="146" t="s">
        <v>1289</v>
      </c>
    </row>
    <row r="51" spans="1:1">
      <c r="A51" s="147" t="s">
        <v>1290</v>
      </c>
    </row>
    <row r="52" spans="1:1">
      <c r="A52" s="148" t="s">
        <v>1291</v>
      </c>
    </row>
    <row r="53" spans="1:1">
      <c r="A53" s="148" t="s">
        <v>1292</v>
      </c>
    </row>
    <row r="54" spans="1:1">
      <c r="A54" s="149"/>
    </row>
    <row r="55" spans="1:1">
      <c r="A55" s="149"/>
    </row>
    <row r="56" spans="1:1">
      <c r="A56" s="149"/>
    </row>
    <row r="57" spans="1:1">
      <c r="A57" s="144" t="s">
        <v>1293</v>
      </c>
    </row>
    <row r="58" spans="1:1">
      <c r="A58" s="146" t="s">
        <v>1294</v>
      </c>
    </row>
    <row r="59" spans="1:1">
      <c r="A59" s="147" t="s">
        <v>1295</v>
      </c>
    </row>
    <row r="60" spans="1:1">
      <c r="A60" s="146" t="s">
        <v>1296</v>
      </c>
    </row>
    <row r="61" spans="1:1">
      <c r="A61" s="147" t="s">
        <v>1297</v>
      </c>
    </row>
  </sheetData>
  <mergeCells count="3">
    <mergeCell ref="A5:G5"/>
    <mergeCell ref="B11:G11"/>
    <mergeCell ref="B12:G12"/>
  </mergeCells>
  <hyperlinks>
    <hyperlink ref="G19" location="'Load Error Report'!A1" display="The current dashboard has many limitations e.g. gives file load status as of that day and no way to see D-o-D change side by side. (See tab Load Error Report)_x000a_Hence GS should develop a Daily Report highlighting cases where there is a huge difference in D-o-D." xr:uid="{130B95D7-862F-418F-AFED-BEF92527DD86}"/>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AF4FA4-A6D3-424A-876F-4A932CA9C666}">
  <dimension ref="A1:D4"/>
  <sheetViews>
    <sheetView workbookViewId="0">
      <selection activeCell="C8" sqref="C8"/>
    </sheetView>
  </sheetViews>
  <sheetFormatPr defaultRowHeight="15"/>
  <cols>
    <col min="1" max="1" width="22.28515625" bestFit="1" customWidth="1"/>
    <col min="2" max="2" width="48.85546875" bestFit="1" customWidth="1"/>
    <col min="3" max="3" width="32.28515625" bestFit="1" customWidth="1"/>
    <col min="4" max="4" width="90.42578125" bestFit="1" customWidth="1"/>
  </cols>
  <sheetData>
    <row r="1" spans="1:4">
      <c r="A1" s="1145" t="s">
        <v>1298</v>
      </c>
      <c r="B1" s="1144" t="s">
        <v>1299</v>
      </c>
      <c r="C1" s="1147" t="s">
        <v>1300</v>
      </c>
      <c r="D1" s="1144" t="s">
        <v>1301</v>
      </c>
    </row>
    <row r="2" spans="1:4">
      <c r="A2" s="135" t="s">
        <v>1302</v>
      </c>
      <c r="B2" s="48" t="s">
        <v>1303</v>
      </c>
      <c r="C2" s="1148" t="s">
        <v>1304</v>
      </c>
      <c r="D2" t="s">
        <v>1305</v>
      </c>
    </row>
    <row r="3" spans="1:4" ht="30">
      <c r="A3" s="135" t="s">
        <v>1306</v>
      </c>
      <c r="B3" s="48" t="s">
        <v>1307</v>
      </c>
      <c r="C3" s="1149" t="s">
        <v>1308</v>
      </c>
      <c r="D3" s="47" t="s">
        <v>1309</v>
      </c>
    </row>
    <row r="4" spans="1:4">
      <c r="A4" s="1146" t="s">
        <v>1310</v>
      </c>
      <c r="B4" s="153" t="s">
        <v>1311</v>
      </c>
      <c r="C4" s="1150" t="s">
        <v>1308</v>
      </c>
      <c r="D4" t="s">
        <v>1312</v>
      </c>
    </row>
  </sheetData>
  <hyperlinks>
    <hyperlink ref="C2" r:id="rId1" display="Follow steps mention in the link " xr:uid="{56F87EA1-389D-444A-A4C6-D08F216D9363}"/>
  </hyperlinks>
  <pageMargins left="0.7" right="0.7" top="0.75" bottom="0.75" header="0.3" footer="0.3"/>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BF0310EC0C0F34087A6AA403EF21E45" ma:contentTypeVersion="35" ma:contentTypeDescription="Create a new document." ma:contentTypeScope="" ma:versionID="83f12e08b18e98986207b3854d6aef63">
  <xsd:schema xmlns:xsd="http://www.w3.org/2001/XMLSchema" xmlns:xs="http://www.w3.org/2001/XMLSchema" xmlns:p="http://schemas.microsoft.com/office/2006/metadata/properties" xmlns:ns2="1a23ee0e-2cd2-4556-9424-fcbcc58185a8" xmlns:ns3="8b246fe9-47d8-43cc-a691-f9cfab284c72" targetNamespace="http://schemas.microsoft.com/office/2006/metadata/properties" ma:root="true" ma:fieldsID="e72d5f24ac25230f346c6e8c813a99ec" ns2:_="" ns3:_="">
    <xsd:import namespace="1a23ee0e-2cd2-4556-9424-fcbcc58185a8"/>
    <xsd:import namespace="8b246fe9-47d8-43cc-a691-f9cfab284c72"/>
    <xsd:element name="properties">
      <xsd:complexType>
        <xsd:sequence>
          <xsd:element name="documentManagement">
            <xsd:complexType>
              <xsd:all>
                <xsd:element ref="ns2:size"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lcf76f155ced4ddcb4097134ff3c332f" minOccurs="0"/>
                <xsd:element ref="ns3: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23ee0e-2cd2-4556-9424-fcbcc58185a8" elementFormDefault="qualified">
    <xsd:import namespace="http://schemas.microsoft.com/office/2006/documentManagement/types"/>
    <xsd:import namespace="http://schemas.microsoft.com/office/infopath/2007/PartnerControls"/>
    <xsd:element name="size" ma:index="2" nillable="true" ma:displayName="size" ma:internalName="size" ma:readOnly="false">
      <xsd:simpleType>
        <xsd:restriction base="dms:Text">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OCR" ma:index="14" nillable="true" ma:displayName="Extracted Text" ma:hidden="true" ma:internalName="MediaServiceOCR" ma:readOnly="true">
      <xsd:simpleType>
        <xsd:restriction base="dms:Note"/>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20" nillable="true" ma:displayName="Length (seconds)"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437477e9-ade2-4d6f-b927-d5998d905f74"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8b246fe9-47d8-43cc-a691-f9cfab284c72" elementFormDefault="qualified">
    <xsd:import namespace="http://schemas.microsoft.com/office/2006/documentManagement/types"/>
    <xsd:import namespace="http://schemas.microsoft.com/office/infopath/2007/PartnerControls"/>
    <xsd:element name="SharedWithUsers" ma:index="17"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ed6ce184-79fb-4d5e-9451-805aaafa30af}" ma:internalName="TaxCatchAll" ma:showField="CatchAllData" ma:web="8b246fe9-47d8-43cc-a691-f9cfab284c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a23ee0e-2cd2-4556-9424-fcbcc58185a8">
      <Terms xmlns="http://schemas.microsoft.com/office/infopath/2007/PartnerControls"/>
    </lcf76f155ced4ddcb4097134ff3c332f>
    <TaxCatchAll xmlns="8b246fe9-47d8-43cc-a691-f9cfab284c72" xsi:nil="true"/>
    <size xmlns="1a23ee0e-2cd2-4556-9424-fcbcc58185a8" xsi:nil="true"/>
  </documentManagement>
</p:properties>
</file>

<file path=customXml/itemProps1.xml><?xml version="1.0" encoding="utf-8"?>
<ds:datastoreItem xmlns:ds="http://schemas.openxmlformats.org/officeDocument/2006/customXml" ds:itemID="{E3E496E1-568B-4496-ABD5-10060C7F7794}"/>
</file>

<file path=customXml/itemProps2.xml><?xml version="1.0" encoding="utf-8"?>
<ds:datastoreItem xmlns:ds="http://schemas.openxmlformats.org/officeDocument/2006/customXml" ds:itemID="{4B06031D-97CD-4E0B-B1F2-EDB88AC121EA}"/>
</file>

<file path=customXml/itemProps3.xml><?xml version="1.0" encoding="utf-8"?>
<ds:datastoreItem xmlns:ds="http://schemas.openxmlformats.org/officeDocument/2006/customXml" ds:itemID="{3CA36CFB-D97E-4079-A5E1-97FFC5E7022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Malik, Garima</dc:creator>
  <cp:keywords/>
  <dc:description/>
  <cp:lastModifiedBy>Yadav, Ambuj</cp:lastModifiedBy>
  <cp:revision/>
  <dcterms:created xsi:type="dcterms:W3CDTF">2019-01-24T02:27:04Z</dcterms:created>
  <dcterms:modified xsi:type="dcterms:W3CDTF">2026-03-10T14:04:02Z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0x0101001BF0310EC0C0F34087A6AA403EF21E45</vt:lpwstr>
  </property>
  <property fmtid="{D5CDD505-2E9C-101B-9397-08002B2CF9AE}" pid="3" name="MediaServiceImageTags">
    <vt:lpwstr/>
  </property>
  <property fmtid="{D5CDD505-2E9C-101B-9397-08002B2CF9AE}" pid="4" name="_docset_NoMedatataSyncRequired">
    <vt:lpwstr>False</vt:lpwstr>
  </property>
  <property fmtid="{D5CDD505-2E9C-101B-9397-08002B2CF9AE}" pid="5" name="MSIP_Label_5ff5bc59-0c14-43ae-9245-fb71c663bf9f_Enabled">
    <vt:lpwstr>true</vt:lpwstr>
  </property>
  <property fmtid="{D5CDD505-2E9C-101B-9397-08002B2CF9AE}" pid="6" name="MSIP_Label_5ff5bc59-0c14-43ae-9245-fb71c663bf9f_SetDate">
    <vt:lpwstr>2025-10-13T23:09:53Z</vt:lpwstr>
  </property>
  <property fmtid="{D5CDD505-2E9C-101B-9397-08002B2CF9AE}" pid="7" name="MSIP_Label_5ff5bc59-0c14-43ae-9245-fb71c663bf9f_Method">
    <vt:lpwstr>Standard</vt:lpwstr>
  </property>
  <property fmtid="{D5CDD505-2E9C-101B-9397-08002B2CF9AE}" pid="8" name="MSIP_Label_5ff5bc59-0c14-43ae-9245-fb71c663bf9f_Name">
    <vt:lpwstr>Internal</vt:lpwstr>
  </property>
  <property fmtid="{D5CDD505-2E9C-101B-9397-08002B2CF9AE}" pid="9" name="MSIP_Label_5ff5bc59-0c14-43ae-9245-fb71c663bf9f_SiteId">
    <vt:lpwstr>3a197ec6-5f59-490f-bb67-fef0fa283972</vt:lpwstr>
  </property>
  <property fmtid="{D5CDD505-2E9C-101B-9397-08002B2CF9AE}" pid="10" name="MSIP_Label_5ff5bc59-0c14-43ae-9245-fb71c663bf9f_ActionId">
    <vt:lpwstr>67644a91-6849-4ef5-88aa-f6b574f5247e</vt:lpwstr>
  </property>
  <property fmtid="{D5CDD505-2E9C-101B-9397-08002B2CF9AE}" pid="11" name="MSIP_Label_5ff5bc59-0c14-43ae-9245-fb71c663bf9f_ContentBits">
    <vt:lpwstr>0</vt:lpwstr>
  </property>
  <property fmtid="{D5CDD505-2E9C-101B-9397-08002B2CF9AE}" pid="12" name="MSIP_Label_5ff5bc59-0c14-43ae-9245-fb71c663bf9f_Tag">
    <vt:lpwstr>10, 3, 0, 2</vt:lpwstr>
  </property>
</Properties>
</file>